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Project Metkom\"/>
    </mc:Choice>
  </mc:AlternateContent>
  <xr:revisionPtr revIDLastSave="0" documentId="13_ncr:1_{B3EB4E4E-F659-41E6-AF2A-6B4F835DB17A}" xr6:coauthVersionLast="47" xr6:coauthVersionMax="47" xr10:uidLastSave="{00000000-0000-0000-0000-000000000000}"/>
  <bookViews>
    <workbookView xWindow="-108" yWindow="-108" windowWidth="23256" windowHeight="12456" xr2:uid="{946ACE3D-F42C-4CD8-B267-F24263605CC6}"/>
  </bookViews>
  <sheets>
    <sheet name="Rover" sheetId="4" r:id="rId1"/>
    <sheet name="Base" sheetId="3" r:id="rId2"/>
    <sheet name="Oa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7" i="4" l="1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6" i="4"/>
  <c r="O27" i="4"/>
  <c r="O2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6" i="4"/>
  <c r="N2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7" i="4"/>
  <c r="N6" i="4"/>
  <c r="M22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3" i="4"/>
  <c r="M24" i="4"/>
  <c r="M25" i="4"/>
  <c r="M26" i="4"/>
  <c r="M27" i="4"/>
  <c r="M6" i="4"/>
  <c r="L27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6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I2" i="4"/>
  <c r="N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1" authorId="0" shapeId="0" xr:uid="{9E54D974-7893-4387-87F9-4D8CE2F10E79}">
      <text>
        <r>
          <rPr>
            <b/>
            <sz val="9"/>
            <color indexed="81"/>
            <rFont val="Tahoma"/>
            <family val="2"/>
          </rPr>
          <t xml:space="preserve">CEK WEBSITE:
</t>
        </r>
        <r>
          <rPr>
            <sz val="9"/>
            <color indexed="81"/>
            <rFont val="Tahoma"/>
            <family val="2"/>
          </rPr>
          <t xml:space="preserve">https://www.ngdc.noaa.gov/geomag/calculators/magcalc.shtml?useFullSite=true#igrfwmm
</t>
        </r>
      </text>
    </comment>
    <comment ref="E1" authorId="0" shapeId="0" xr:uid="{AB41746C-396E-49BF-8A61-347A0038FA56}">
      <text>
        <r>
          <rPr>
            <b/>
            <sz val="9"/>
            <color indexed="81"/>
            <rFont val="Tahoma"/>
            <family val="2"/>
          </rPr>
          <t xml:space="preserve">BASELINE:
</t>
        </r>
        <r>
          <rPr>
            <sz val="9"/>
            <color indexed="81"/>
            <rFont val="Tahoma"/>
            <family val="2"/>
          </rPr>
          <t xml:space="preserve">ambil nilai base (sebelum smoothing) pada pengukuran rover pertama
</t>
        </r>
      </text>
    </comment>
    <comment ref="G1" authorId="0" shapeId="0" xr:uid="{A1A11C8C-8EA5-4435-A321-173ABDB46C93}">
      <text>
        <r>
          <rPr>
            <sz val="9"/>
            <color indexed="81"/>
            <rFont val="Tahoma"/>
            <family val="2"/>
          </rPr>
          <t xml:space="preserve">Dapet dari file IGRF
</t>
        </r>
      </text>
    </comment>
    <comment ref="H1" authorId="0" shapeId="0" xr:uid="{8FA02448-E0B1-46DD-9A2B-5980C42432EC}">
      <text>
        <r>
          <rPr>
            <sz val="9"/>
            <color indexed="81"/>
            <rFont val="Tahoma"/>
            <family val="2"/>
          </rPr>
          <t xml:space="preserve">Dapet dari file IGRF
</t>
        </r>
      </text>
    </comment>
    <comment ref="F4" authorId="0" shapeId="0" xr:uid="{15EA840B-9222-4767-8B9F-4938DE524DAC}">
      <text>
        <r>
          <rPr>
            <b/>
            <sz val="9"/>
            <color indexed="81"/>
            <rFont val="Tahoma"/>
            <family val="2"/>
          </rPr>
          <t xml:space="preserve">WAKTU:
</t>
        </r>
        <r>
          <rPr>
            <sz val="9"/>
            <color indexed="81"/>
            <rFont val="Tahoma"/>
            <family val="2"/>
          </rPr>
          <t xml:space="preserve">Pakai waktu pengukuran pertama pada pembacaan per titik
</t>
        </r>
      </text>
    </comment>
    <comment ref="L4" authorId="0" shapeId="0" xr:uid="{B7CC0A46-CCC0-4A0F-B74E-9E222D6569C8}">
      <text>
        <r>
          <rPr>
            <b/>
            <sz val="9"/>
            <color indexed="81"/>
            <rFont val="Tahoma"/>
            <family val="2"/>
          </rPr>
          <t xml:space="preserve">H Obs:
</t>
        </r>
        <r>
          <rPr>
            <sz val="9"/>
            <color indexed="81"/>
            <rFont val="Tahoma"/>
            <family val="2"/>
          </rPr>
          <t>Rata-rata dari data hasil pembacaan PPM
=AVERAGE(G6:K6)</t>
        </r>
      </text>
    </comment>
    <comment ref="M4" authorId="0" shapeId="0" xr:uid="{C80E64F4-55A2-4583-8596-5FE792991698}">
      <text>
        <r>
          <rPr>
            <b/>
            <sz val="9"/>
            <color indexed="81"/>
            <rFont val="Tahoma"/>
            <family val="2"/>
          </rPr>
          <t xml:space="preserve">Base:
</t>
        </r>
        <r>
          <rPr>
            <sz val="9"/>
            <color indexed="81"/>
            <rFont val="Tahoma"/>
            <family val="2"/>
          </rPr>
          <t xml:space="preserve">VLOOKUP(Waktu Pembacaan, Data Time base dan Smoothing, 2)
=VLOOKUP(F6,Base!$A$3:$B$578,2,TRUE)
</t>
        </r>
      </text>
    </comment>
    <comment ref="N4" authorId="0" shapeId="0" xr:uid="{238EE118-2AA4-464D-B6BA-65E99EEA2BF1}">
      <text>
        <r>
          <rPr>
            <b/>
            <sz val="9"/>
            <color indexed="81"/>
            <rFont val="Tahoma"/>
            <family val="2"/>
          </rPr>
          <t xml:space="preserve">VarHan:
</t>
        </r>
        <r>
          <rPr>
            <sz val="9"/>
            <color indexed="81"/>
            <rFont val="Tahoma"/>
            <family val="2"/>
          </rPr>
          <t xml:space="preserve">hasil Base - Baseline
</t>
        </r>
      </text>
    </comment>
    <comment ref="O4" authorId="0" shapeId="0" xr:uid="{E39E7175-3D7C-46FE-A42C-09BB68CFFDC2}">
      <text>
        <r>
          <rPr>
            <b/>
            <sz val="9"/>
            <color indexed="81"/>
            <rFont val="Tahoma"/>
            <family val="2"/>
          </rPr>
          <t xml:space="preserve">Terkoreksi:
</t>
        </r>
        <r>
          <rPr>
            <sz val="9"/>
            <color indexed="81"/>
            <rFont val="Tahoma"/>
            <family val="2"/>
          </rPr>
          <t xml:space="preserve">H Obs - VarHan
</t>
        </r>
      </text>
    </comment>
    <comment ref="P4" authorId="0" shapeId="0" xr:uid="{6B08F4F0-D822-4E1A-81D2-349BA7835171}">
      <text>
        <r>
          <rPr>
            <b/>
            <sz val="9"/>
            <color indexed="81"/>
            <rFont val="Tahoma"/>
            <family val="2"/>
          </rPr>
          <t xml:space="preserve">Anomali MagTot:
</t>
        </r>
        <r>
          <rPr>
            <sz val="9"/>
            <color indexed="81"/>
            <rFont val="Tahoma"/>
            <family val="2"/>
          </rPr>
          <t xml:space="preserve">Terkoreksi - IGRF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2" authorId="0" shapeId="0" xr:uid="{EDACB362-A246-4BF0-A609-89D6179D30A6}">
      <text>
        <r>
          <rPr>
            <b/>
            <sz val="9"/>
            <color indexed="81"/>
            <rFont val="Tahoma"/>
            <family val="2"/>
          </rPr>
          <t>SMOOTHING:</t>
        </r>
        <r>
          <rPr>
            <sz val="9"/>
            <color indexed="81"/>
            <rFont val="Tahoma"/>
            <family val="2"/>
          </rPr>
          <t xml:space="preserve">
y = ax^3 - bx^2 + cx + d
*didapat dari grafik variasi harian base
*x yang digunakan adalah timebase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I2" authorId="0" shapeId="0" xr:uid="{E8E352B7-F1E8-4432-A340-493FA86DB2FE}">
      <text>
        <r>
          <rPr>
            <b/>
            <sz val="9"/>
            <color indexed="81"/>
            <rFont val="Tahoma"/>
            <family val="2"/>
          </rPr>
          <t xml:space="preserve">CEK WEBSITE:
</t>
        </r>
        <r>
          <rPr>
            <sz val="9"/>
            <color indexed="81"/>
            <rFont val="Tahoma"/>
            <family val="2"/>
          </rPr>
          <t xml:space="preserve">https://www.ngdc.noaa.gov/geomag/calculators/magcalc.shtml?useFullSite=true#igrfwmm
</t>
        </r>
      </text>
    </comment>
    <comment ref="J2" authorId="0" shapeId="0" xr:uid="{F49E1BEB-6985-4CF3-8259-98FF90B14873}">
      <text>
        <r>
          <rPr>
            <b/>
            <sz val="9"/>
            <color indexed="81"/>
            <rFont val="Tahoma"/>
            <family val="2"/>
          </rPr>
          <t xml:space="preserve">BASELINE:
</t>
        </r>
        <r>
          <rPr>
            <sz val="9"/>
            <color indexed="81"/>
            <rFont val="Tahoma"/>
            <family val="2"/>
          </rPr>
          <t xml:space="preserve">ambil nilai base (sebelum smoothing) pada pengukuran rover pertama
</t>
        </r>
      </text>
    </comment>
    <comment ref="L2" authorId="0" shapeId="0" xr:uid="{FBFC418C-919D-410D-BFC3-CDBA75301F2B}">
      <text>
        <r>
          <rPr>
            <sz val="9"/>
            <color indexed="81"/>
            <rFont val="Tahoma"/>
            <family val="2"/>
          </rPr>
          <t xml:space="preserve">Dapet dari file IGRF
</t>
        </r>
      </text>
    </comment>
    <comment ref="M2" authorId="0" shapeId="0" xr:uid="{71A7A97D-045A-4490-9C01-6D106F7B1171}">
      <text>
        <r>
          <rPr>
            <sz val="9"/>
            <color indexed="81"/>
            <rFont val="Tahoma"/>
            <family val="2"/>
          </rPr>
          <t xml:space="preserve">Dapet dari file IGRF
</t>
        </r>
      </text>
    </comment>
  </commentList>
</comments>
</file>

<file path=xl/sharedStrings.xml><?xml version="1.0" encoding="utf-8"?>
<sst xmlns="http://schemas.openxmlformats.org/spreadsheetml/2006/main" count="82" uniqueCount="52">
  <si>
    <t>Nama Titik</t>
  </si>
  <si>
    <t>X</t>
  </si>
  <si>
    <t>Y</t>
  </si>
  <si>
    <t>Z</t>
  </si>
  <si>
    <t>Anomali medan magnet Total</t>
  </si>
  <si>
    <t>A1</t>
  </si>
  <si>
    <t>H1</t>
  </si>
  <si>
    <t>Hari</t>
  </si>
  <si>
    <t>IGRF</t>
  </si>
  <si>
    <t>Baseline</t>
  </si>
  <si>
    <t>Tanggal</t>
  </si>
  <si>
    <t>Inklinasi</t>
  </si>
  <si>
    <t>Deklinasi</t>
  </si>
  <si>
    <t>Koreksi Inklinasi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</si>
  <si>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</si>
  <si>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</si>
  <si>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</si>
  <si>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</si>
  <si>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</si>
  <si>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</si>
  <si>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</si>
  <si>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</si>
  <si>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</si>
  <si>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</si>
  <si>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</si>
  <si>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</si>
  <si>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</si>
  <si>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</si>
  <si>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</si>
  <si>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</si>
  <si>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</si>
  <si>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</si>
  <si>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</si>
  <si>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B1</t>
  </si>
  <si>
    <t>B2</t>
  </si>
  <si>
    <t xml:space="preserve"> </t>
  </si>
  <si>
    <t>DUMPING DATA BASE ALAT PPM GEOTRON G5</t>
  </si>
  <si>
    <t>Time Base</t>
  </si>
  <si>
    <t>Smoothing</t>
  </si>
  <si>
    <t>PENGOLAHAN</t>
  </si>
  <si>
    <t>NO</t>
  </si>
  <si>
    <t>Posisi</t>
  </si>
  <si>
    <t>Waktu</t>
  </si>
  <si>
    <t>Pembacaan PPM</t>
  </si>
  <si>
    <t>H Obs (nT)</t>
  </si>
  <si>
    <t>Base (nT)</t>
  </si>
  <si>
    <t>Variasi Harian (nT)</t>
  </si>
  <si>
    <t>Terkoreksi VarHan</t>
  </si>
  <si>
    <t>Anomali Magnet Total (nT)</t>
  </si>
  <si>
    <t>Easting (x)</t>
  </si>
  <si>
    <t>Northing (Y)</t>
  </si>
  <si>
    <t>Elevation 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</si>
</sst>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[$-F400]h:mm:ss\ AM/PM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2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name val="Calibri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3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3"/>
      <color theme="1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AE571"/>
        <bgColor rgb="FFAAE57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91">
    <xf numFmtId="0" fontId="0" fillId="0" borderId="0" xfId="0"/>
    <xf numFmtId="0" fontId="3" fillId="2" borderId="1" xfId="1" applyFont="1" applyFill="1" applyBorder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 vertical="center"/>
    </xf>
    <xf numFmtId="165" fontId="5" fillId="5" borderId="3" xfId="1" applyNumberFormat="1" applyFont="1" applyFill="1" applyBorder="1" applyAlignment="1">
      <alignment horizontal="center" vertical="center"/>
    </xf>
    <xf numFmtId="165" fontId="6" fillId="6" borderId="3" xfId="1" applyNumberFormat="1" applyFont="1" applyFill="1" applyBorder="1" applyAlignment="1">
      <alignment horizontal="center" vertical="center"/>
    </xf>
    <xf numFmtId="0" fontId="8" fillId="7" borderId="3" xfId="1" applyFont="1" applyFill="1" applyBorder="1" applyAlignment="1">
      <alignment horizontal="center" vertical="center"/>
    </xf>
    <xf numFmtId="1" fontId="8" fillId="7" borderId="3" xfId="1" applyNumberFormat="1" applyFont="1" applyFill="1" applyBorder="1" applyAlignment="1">
      <alignment horizontal="center" vertical="center"/>
    </xf>
    <xf numFmtId="14" fontId="8" fillId="7" borderId="3" xfId="1" applyNumberFormat="1" applyFont="1" applyFill="1" applyBorder="1" applyAlignment="1">
      <alignment horizontal="center" vertical="center"/>
    </xf>
    <xf numFmtId="164" fontId="8" fillId="7" borderId="3" xfId="1" applyNumberFormat="1" applyFont="1" applyFill="1" applyBorder="1" applyAlignment="1">
      <alignment horizontal="center" vertical="center"/>
    </xf>
    <xf numFmtId="164" fontId="9" fillId="8" borderId="3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2" fillId="0" borderId="0" xfId="1" applyFont="1" applyAlignment="1">
      <alignment horizontal="center"/>
    </xf>
    <xf numFmtId="0" fontId="2" fillId="0" borderId="0" xfId="1" applyAlignment="1">
      <alignment wrapText="1"/>
    </xf>
    <xf numFmtId="0" fontId="11" fillId="0" borderId="0" xfId="1" applyFont="1"/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65" fontId="0" fillId="7" borderId="6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1" fontId="0" fillId="0" borderId="3" xfId="0" applyNumberFormat="1" applyBorder="1"/>
    <xf numFmtId="0" fontId="0" fillId="0" borderId="3" xfId="0" applyBorder="1"/>
    <xf numFmtId="21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" fontId="8" fillId="7" borderId="3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14" fontId="8" fillId="7" borderId="3" xfId="0" applyNumberFormat="1" applyFont="1" applyFill="1" applyBorder="1" applyAlignment="1">
      <alignment horizontal="center" vertical="center"/>
    </xf>
    <xf numFmtId="164" fontId="8" fillId="7" borderId="3" xfId="0" applyNumberFormat="1" applyFont="1" applyFill="1" applyBorder="1" applyAlignment="1">
      <alignment horizontal="center" vertical="center"/>
    </xf>
    <xf numFmtId="164" fontId="9" fillId="8" borderId="6" xfId="0" applyNumberFormat="1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21" fontId="0" fillId="0" borderId="25" xfId="0" applyNumberFormat="1" applyBorder="1" applyAlignment="1">
      <alignment horizontal="center" vertical="center" wrapText="1"/>
    </xf>
    <xf numFmtId="165" fontId="0" fillId="0" borderId="25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0" fontId="0" fillId="7" borderId="16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8" fillId="7" borderId="1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165" fontId="0" fillId="7" borderId="16" xfId="0" applyNumberFormat="1" applyFill="1" applyBorder="1" applyAlignment="1">
      <alignment horizontal="center" vertical="center" wrapText="1"/>
    </xf>
    <xf numFmtId="165" fontId="0" fillId="7" borderId="21" xfId="0" applyNumberForma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/>
    <xf numFmtId="0" fontId="15" fillId="0" borderId="0" xfId="1" applyFont="1" applyAlignment="1">
      <alignment horizontal="center"/>
    </xf>
    <xf numFmtId="0" fontId="4" fillId="4" borderId="2" xfId="1" applyFont="1" applyFill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11" fillId="0" borderId="0" xfId="1" applyFont="1" applyAlignment="1">
      <alignment horizontal="center"/>
    </xf>
  </cellXfs>
  <cellStyles count="2">
    <cellStyle name="Normal" xfId="0" builtinId="0"/>
    <cellStyle name="Normal 2" xfId="1" xr:uid="{408783C4-BC7F-4F5B-8ACD-12CF36458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Check</a:t>
            </a:r>
            <a:r>
              <a:rPr lang="en-US" baseline="0"/>
              <a:t> Koordinat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Rover!$C$6:$C$27</c:f>
              <c:numCache>
                <c:formatCode>General</c:formatCode>
                <c:ptCount val="22"/>
                <c:pt idx="0" formatCode="0">
                  <c:v>406371</c:v>
                </c:pt>
                <c:pt idx="1">
                  <c:v>406127</c:v>
                </c:pt>
                <c:pt idx="2">
                  <c:v>405912</c:v>
                </c:pt>
                <c:pt idx="3">
                  <c:v>405685</c:v>
                </c:pt>
                <c:pt idx="4">
                  <c:v>405476</c:v>
                </c:pt>
                <c:pt idx="5">
                  <c:v>405242</c:v>
                </c:pt>
                <c:pt idx="6">
                  <c:v>405019</c:v>
                </c:pt>
                <c:pt idx="7">
                  <c:v>404804</c:v>
                </c:pt>
                <c:pt idx="8">
                  <c:v>404567</c:v>
                </c:pt>
                <c:pt idx="9">
                  <c:v>404358</c:v>
                </c:pt>
                <c:pt idx="10">
                  <c:v>404103</c:v>
                </c:pt>
                <c:pt idx="11">
                  <c:v>403898</c:v>
                </c:pt>
                <c:pt idx="12">
                  <c:v>403672</c:v>
                </c:pt>
                <c:pt idx="13">
                  <c:v>403457</c:v>
                </c:pt>
                <c:pt idx="14">
                  <c:v>403224</c:v>
                </c:pt>
                <c:pt idx="15">
                  <c:v>402995</c:v>
                </c:pt>
                <c:pt idx="16">
                  <c:v>402775</c:v>
                </c:pt>
                <c:pt idx="17">
                  <c:v>402552</c:v>
                </c:pt>
                <c:pt idx="18">
                  <c:v>402316</c:v>
                </c:pt>
                <c:pt idx="19">
                  <c:v>402116</c:v>
                </c:pt>
                <c:pt idx="20">
                  <c:v>402090</c:v>
                </c:pt>
                <c:pt idx="21">
                  <c:v>402319</c:v>
                </c:pt>
              </c:numCache>
            </c:numRef>
          </c:xVal>
          <c:yVal>
            <c:numRef>
              <c:f>Rover!$D$6:$D$27</c:f>
              <c:numCache>
                <c:formatCode>General</c:formatCode>
                <c:ptCount val="22"/>
                <c:pt idx="0">
                  <c:v>9134060</c:v>
                </c:pt>
                <c:pt idx="1">
                  <c:v>9134092</c:v>
                </c:pt>
                <c:pt idx="2">
                  <c:v>9134097</c:v>
                </c:pt>
                <c:pt idx="3">
                  <c:v>9134110</c:v>
                </c:pt>
                <c:pt idx="4">
                  <c:v>9134119</c:v>
                </c:pt>
                <c:pt idx="5">
                  <c:v>9134112</c:v>
                </c:pt>
                <c:pt idx="6">
                  <c:v>9134118</c:v>
                </c:pt>
                <c:pt idx="7">
                  <c:v>9134113</c:v>
                </c:pt>
                <c:pt idx="8">
                  <c:v>9134111</c:v>
                </c:pt>
                <c:pt idx="9">
                  <c:v>9134113</c:v>
                </c:pt>
                <c:pt idx="10">
                  <c:v>9134106</c:v>
                </c:pt>
                <c:pt idx="11">
                  <c:v>9134118</c:v>
                </c:pt>
                <c:pt idx="12">
                  <c:v>9134111</c:v>
                </c:pt>
                <c:pt idx="13">
                  <c:v>9134111</c:v>
                </c:pt>
                <c:pt idx="14">
                  <c:v>9134111</c:v>
                </c:pt>
                <c:pt idx="15">
                  <c:v>9134125</c:v>
                </c:pt>
                <c:pt idx="16">
                  <c:v>9134104</c:v>
                </c:pt>
                <c:pt idx="17">
                  <c:v>9134109</c:v>
                </c:pt>
                <c:pt idx="18">
                  <c:v>9134112</c:v>
                </c:pt>
                <c:pt idx="19">
                  <c:v>9134112</c:v>
                </c:pt>
                <c:pt idx="20">
                  <c:v>9133879</c:v>
                </c:pt>
                <c:pt idx="21">
                  <c:v>9133889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C5-4C9E-A105-B934BD4DC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236240"/>
        <c:axId val="1755235280"/>
      </c:scatterChart>
      <c:valAx>
        <c:axId val="175523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55235280"/>
        <c:crosses val="autoZero"/>
        <c:crossBetween val="midCat"/>
      </c:valAx>
      <c:valAx>
        <c:axId val="175523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5523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Oasis!$B$2:$B$23</c:f>
              <c:numCache>
                <c:formatCode>General</c:formatCode>
                <c:ptCount val="22"/>
                <c:pt idx="0" formatCode="0">
                  <c:v>406371</c:v>
                </c:pt>
                <c:pt idx="1">
                  <c:v>406127</c:v>
                </c:pt>
                <c:pt idx="2">
                  <c:v>405912</c:v>
                </c:pt>
                <c:pt idx="3">
                  <c:v>405685</c:v>
                </c:pt>
                <c:pt idx="4">
                  <c:v>405476</c:v>
                </c:pt>
                <c:pt idx="5">
                  <c:v>405242</c:v>
                </c:pt>
                <c:pt idx="6">
                  <c:v>405019</c:v>
                </c:pt>
                <c:pt idx="7">
                  <c:v>404804</c:v>
                </c:pt>
                <c:pt idx="8">
                  <c:v>404567</c:v>
                </c:pt>
                <c:pt idx="9">
                  <c:v>404358</c:v>
                </c:pt>
                <c:pt idx="10">
                  <c:v>404103</c:v>
                </c:pt>
                <c:pt idx="11">
                  <c:v>403898</c:v>
                </c:pt>
                <c:pt idx="12">
                  <c:v>403672</c:v>
                </c:pt>
                <c:pt idx="13">
                  <c:v>403457</c:v>
                </c:pt>
                <c:pt idx="14">
                  <c:v>403224</c:v>
                </c:pt>
                <c:pt idx="15">
                  <c:v>402995</c:v>
                </c:pt>
                <c:pt idx="16">
                  <c:v>402775</c:v>
                </c:pt>
                <c:pt idx="17">
                  <c:v>402552</c:v>
                </c:pt>
                <c:pt idx="18">
                  <c:v>402316</c:v>
                </c:pt>
                <c:pt idx="19">
                  <c:v>402116</c:v>
                </c:pt>
                <c:pt idx="20">
                  <c:v>402090</c:v>
                </c:pt>
                <c:pt idx="21">
                  <c:v>402319</c:v>
                </c:pt>
              </c:numCache>
            </c:numRef>
          </c:xVal>
          <c:yVal>
            <c:numRef>
              <c:f>Oasis!$C$2:$C$23</c:f>
              <c:numCache>
                <c:formatCode>General</c:formatCode>
                <c:ptCount val="22"/>
                <c:pt idx="0">
                  <c:v>9134060</c:v>
                </c:pt>
                <c:pt idx="1">
                  <c:v>9134092</c:v>
                </c:pt>
                <c:pt idx="2">
                  <c:v>9134097</c:v>
                </c:pt>
                <c:pt idx="3">
                  <c:v>9134110</c:v>
                </c:pt>
                <c:pt idx="4">
                  <c:v>9134119</c:v>
                </c:pt>
                <c:pt idx="5">
                  <c:v>9134112</c:v>
                </c:pt>
                <c:pt idx="6">
                  <c:v>9134118</c:v>
                </c:pt>
                <c:pt idx="7">
                  <c:v>9134113</c:v>
                </c:pt>
                <c:pt idx="8">
                  <c:v>9134111</c:v>
                </c:pt>
                <c:pt idx="9">
                  <c:v>9134113</c:v>
                </c:pt>
                <c:pt idx="10">
                  <c:v>9134106</c:v>
                </c:pt>
                <c:pt idx="11">
                  <c:v>9134118</c:v>
                </c:pt>
                <c:pt idx="12">
                  <c:v>9134111</c:v>
                </c:pt>
                <c:pt idx="13">
                  <c:v>9134111</c:v>
                </c:pt>
                <c:pt idx="14">
                  <c:v>9134111</c:v>
                </c:pt>
                <c:pt idx="15">
                  <c:v>9134125</c:v>
                </c:pt>
                <c:pt idx="16">
                  <c:v>9134104</c:v>
                </c:pt>
                <c:pt idx="17">
                  <c:v>9134109</c:v>
                </c:pt>
                <c:pt idx="18">
                  <c:v>9134112</c:v>
                </c:pt>
                <c:pt idx="19">
                  <c:v>9134112</c:v>
                </c:pt>
                <c:pt idx="20">
                  <c:v>9133879</c:v>
                </c:pt>
                <c:pt idx="21">
                  <c:v>9133889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2-4883-A30E-EF6A2650C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270111"/>
        <c:axId val="1396229791"/>
      </c:scatterChart>
      <c:valAx>
        <c:axId val="139627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29791"/>
        <c:crosses val="autoZero"/>
        <c:crossBetween val="midCat"/>
      </c:valAx>
      <c:valAx>
        <c:axId val="13962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7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0</xdr:rowOff>
    </xdr:from>
    <xdr:to>
      <xdr:col>1</xdr:col>
      <xdr:colOff>541020</xdr:colOff>
      <xdr:row>2</xdr:row>
      <xdr:rowOff>6853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14DE8-6D29-4C90-96FD-FF4B84FB9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0"/>
          <a:ext cx="922020" cy="867913"/>
        </a:xfrm>
        <a:prstGeom prst="rect">
          <a:avLst/>
        </a:prstGeom>
      </xdr:spPr>
    </xdr:pic>
    <xdr:clientData/>
  </xdr:twoCellAnchor>
  <xdr:twoCellAnchor>
    <xdr:from>
      <xdr:col>16</xdr:col>
      <xdr:colOff>595503</xdr:colOff>
      <xdr:row>3</xdr:row>
      <xdr:rowOff>45720</xdr:rowOff>
    </xdr:from>
    <xdr:to>
      <xdr:col>22</xdr:col>
      <xdr:colOff>349377</xdr:colOff>
      <xdr:row>7</xdr:row>
      <xdr:rowOff>137160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C94F15-D731-45B4-A7B0-D1A1DEF13536}"/>
            </a:ext>
          </a:extLst>
        </xdr:cNvPr>
        <xdr:cNvSpPr/>
      </xdr:nvSpPr>
      <xdr:spPr>
        <a:xfrm>
          <a:off x="18761583" y="1097280"/>
          <a:ext cx="3411474" cy="82296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Total Medan Magnet</a:t>
          </a:r>
          <a:r>
            <a:rPr lang="en-US" sz="1200" b="1" baseline="0"/>
            <a:t> Observasi (</a:t>
          </a:r>
          <a:r>
            <a:rPr lang="en-US" sz="1200" b="1"/>
            <a:t>H</a:t>
          </a:r>
          <a:r>
            <a:rPr lang="en-US" sz="1200" b="1" baseline="0"/>
            <a:t> Obs)</a:t>
          </a:r>
        </a:p>
        <a:p>
          <a:pPr algn="just"/>
          <a:r>
            <a:rPr lang="en-US" sz="1100" baseline="0"/>
            <a:t>merupakan hasil nilai rata-rata anomali medan magnet total terukur (pada PPM) pada titik atau daerah tertentu</a:t>
          </a:r>
          <a:endParaRPr lang="en-US" sz="1100"/>
        </a:p>
      </xdr:txBody>
    </xdr:sp>
    <xdr:clientData/>
  </xdr:twoCellAnchor>
  <xdr:twoCellAnchor>
    <xdr:from>
      <xdr:col>16</xdr:col>
      <xdr:colOff>595503</xdr:colOff>
      <xdr:row>8</xdr:row>
      <xdr:rowOff>45720</xdr:rowOff>
    </xdr:from>
    <xdr:to>
      <xdr:col>22</xdr:col>
      <xdr:colOff>349377</xdr:colOff>
      <xdr:row>12</xdr:row>
      <xdr:rowOff>137160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B098F34-21EC-4743-9702-3DDB3548F8C6}"/>
            </a:ext>
          </a:extLst>
        </xdr:cNvPr>
        <xdr:cNvSpPr/>
      </xdr:nvSpPr>
      <xdr:spPr>
        <a:xfrm>
          <a:off x="18761583" y="2011680"/>
          <a:ext cx="3411474" cy="82296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Base </a:t>
          </a:r>
          <a:r>
            <a:rPr lang="en-US" sz="1200" b="1" baseline="0"/>
            <a:t>(nT)</a:t>
          </a:r>
        </a:p>
        <a:p>
          <a:pPr algn="just"/>
          <a:r>
            <a:rPr lang="en-US" sz="1100" baseline="0"/>
            <a:t>merupakan hasil nilai Anomali Magnet Base (yang sudah di smoothing) yang dikoreksi dan disesuaikan dengan waktu pengukuran Rover</a:t>
          </a:r>
          <a:endParaRPr lang="en-US" sz="1100"/>
        </a:p>
      </xdr:txBody>
    </xdr:sp>
    <xdr:clientData/>
  </xdr:twoCellAnchor>
  <xdr:twoCellAnchor>
    <xdr:from>
      <xdr:col>23</xdr:col>
      <xdr:colOff>24003</xdr:colOff>
      <xdr:row>3</xdr:row>
      <xdr:rowOff>76200</xdr:rowOff>
    </xdr:from>
    <xdr:to>
      <xdr:col>28</xdr:col>
      <xdr:colOff>387477</xdr:colOff>
      <xdr:row>8</xdr:row>
      <xdr:rowOff>7620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2ACF632-EDDE-4DB2-8850-B9304DA5AAA1}"/>
            </a:ext>
          </a:extLst>
        </xdr:cNvPr>
        <xdr:cNvSpPr/>
      </xdr:nvSpPr>
      <xdr:spPr>
        <a:xfrm>
          <a:off x="22457283" y="1127760"/>
          <a:ext cx="3411474" cy="84582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Variasi Harian </a:t>
          </a:r>
          <a:r>
            <a:rPr lang="en-US" sz="1200" b="1" baseline="0"/>
            <a:t>(nT)</a:t>
          </a:r>
        </a:p>
        <a:p>
          <a:pPr algn="just"/>
          <a:r>
            <a:rPr lang="en-US" sz="1100" baseline="0"/>
            <a:t>merupakan hasil nilai Anomali Magnet Base (yang sudah disesuaikan dengan Rover) yang dikoreksikan dengan nilai Baseline</a:t>
          </a:r>
          <a:endParaRPr lang="en-US" sz="1100"/>
        </a:p>
      </xdr:txBody>
    </xdr:sp>
    <xdr:clientData/>
  </xdr:twoCellAnchor>
  <xdr:twoCellAnchor>
    <xdr:from>
      <xdr:col>23</xdr:col>
      <xdr:colOff>16383</xdr:colOff>
      <xdr:row>8</xdr:row>
      <xdr:rowOff>106680</xdr:rowOff>
    </xdr:from>
    <xdr:to>
      <xdr:col>28</xdr:col>
      <xdr:colOff>379857</xdr:colOff>
      <xdr:row>12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A9F595A-6658-41F7-8830-63FC09CFA350}"/>
            </a:ext>
          </a:extLst>
        </xdr:cNvPr>
        <xdr:cNvSpPr/>
      </xdr:nvSpPr>
      <xdr:spPr>
        <a:xfrm>
          <a:off x="22449663" y="2072640"/>
          <a:ext cx="3411474" cy="70104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Terkoreksi VarHan </a:t>
          </a:r>
          <a:r>
            <a:rPr lang="en-US" sz="1200" b="1" baseline="0"/>
            <a:t>(nT)</a:t>
          </a:r>
        </a:p>
        <a:p>
          <a:pPr algn="just"/>
          <a:r>
            <a:rPr lang="en-US" sz="1100" baseline="0"/>
            <a:t>merupakan hasil nilai Variasi Harian yang dikoreksikan dengan nilai H Obs (nT)</a:t>
          </a:r>
          <a:endParaRPr lang="en-US" sz="1100"/>
        </a:p>
      </xdr:txBody>
    </xdr:sp>
    <xdr:clientData/>
  </xdr:twoCellAnchor>
  <xdr:twoCellAnchor>
    <xdr:from>
      <xdr:col>23</xdr:col>
      <xdr:colOff>24003</xdr:colOff>
      <xdr:row>12</xdr:row>
      <xdr:rowOff>152400</xdr:rowOff>
    </xdr:from>
    <xdr:to>
      <xdr:col>28</xdr:col>
      <xdr:colOff>387477</xdr:colOff>
      <xdr:row>18</xdr:row>
      <xdr:rowOff>30480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04DEAE9-F9A1-4944-880C-C00C0591FCF8}"/>
            </a:ext>
          </a:extLst>
        </xdr:cNvPr>
        <xdr:cNvSpPr/>
      </xdr:nvSpPr>
      <xdr:spPr>
        <a:xfrm>
          <a:off x="22457283" y="2849880"/>
          <a:ext cx="3411474" cy="97536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Anomali Magnet</a:t>
          </a:r>
          <a:r>
            <a:rPr lang="en-US" sz="1200" b="1" baseline="0"/>
            <a:t> Total</a:t>
          </a:r>
          <a:r>
            <a:rPr lang="en-US" sz="1200" b="1"/>
            <a:t> </a:t>
          </a:r>
          <a:r>
            <a:rPr lang="en-US" sz="1200" b="1" baseline="0"/>
            <a:t>(nT)</a:t>
          </a:r>
        </a:p>
        <a:p>
          <a:pPr algn="just"/>
          <a:r>
            <a:rPr lang="en-US" sz="1100" baseline="0"/>
            <a:t>merupakan hasil nilai Terkoreksi VarHan yang dikoreksikan dengan nilai IGRF, menunjukkan hasil Anomali Magnet Total (nT) sebenarnya pada titik tersebut.</a:t>
          </a:r>
          <a:endParaRPr lang="en-US" sz="1100"/>
        </a:p>
      </xdr:txBody>
    </xdr:sp>
    <xdr:clientData/>
  </xdr:twoCellAnchor>
  <xdr:twoCellAnchor>
    <xdr:from>
      <xdr:col>20</xdr:col>
      <xdr:colOff>369985</xdr:colOff>
      <xdr:row>18</xdr:row>
      <xdr:rowOff>160328</xdr:rowOff>
    </xdr:from>
    <xdr:to>
      <xdr:col>33</xdr:col>
      <xdr:colOff>333840</xdr:colOff>
      <xdr:row>33</xdr:row>
      <xdr:rowOff>160327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5CC59A4-987B-44A7-A8E9-DD3A3501E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10426</xdr:colOff>
      <xdr:row>1</xdr:row>
      <xdr:rowOff>16843</xdr:rowOff>
    </xdr:from>
    <xdr:to>
      <xdr:col>9</xdr:col>
      <xdr:colOff>123583</xdr:colOff>
      <xdr:row>5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A5837CC-0440-4B96-9C45-B7A94472FBBE}"/>
            </a:ext>
          </a:extLst>
        </xdr:cNvPr>
        <xdr:cNvSpPr/>
      </xdr:nvSpPr>
      <xdr:spPr>
        <a:xfrm>
          <a:off x="5313946" y="321643"/>
          <a:ext cx="4144137" cy="83659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Proses Smoothing</a:t>
          </a:r>
          <a:endParaRPr lang="en-US" sz="1200" b="1" baseline="0"/>
        </a:p>
        <a:p>
          <a:pPr algn="just"/>
          <a:r>
            <a:rPr lang="en-US" sz="1100" baseline="0"/>
            <a:t>dilakukan agar tren dominan variasi harian base terlihat tanpa adanya fluktuasi/noise, dan digunakan fungsi polinomial terhadap waktu (timebase) untuk mendapatkan kurva/grafik smoothing.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587829</xdr:colOff>
      <xdr:row>4</xdr:row>
      <xdr:rowOff>0</xdr:rowOff>
    </xdr:from>
    <xdr:to>
      <xdr:col>13</xdr:col>
      <xdr:colOff>364253</xdr:colOff>
      <xdr:row>19</xdr:row>
      <xdr:rowOff>105507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210C2-076F-41D0-9A5C-73F10B4ED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8F26-9476-4A9A-A8F7-195A70B20302}">
  <dimension ref="A1:AG31"/>
  <sheetViews>
    <sheetView tabSelected="1" topLeftCell="C2" zoomScale="90" zoomScaleNormal="90" workbookViewId="0">
      <selection activeCell="Q20" sqref="Q20"/>
    </sheetView>
  </sheetViews>
  <sheetFormatPr defaultRowHeight="14.4"/>
  <cols>
    <col min="1" max="1" width="6.88671875" customWidth="1"/>
    <col min="2" max="2" width="9.77734375" customWidth="1"/>
    <col min="3" max="3" width="11.21875" customWidth="1"/>
    <col min="4" max="4" width="13.77734375" customWidth="1"/>
    <col min="5" max="5" width="11.77734375" customWidth="1"/>
    <col min="6" max="6" width="12.5546875" customWidth="1"/>
    <col min="7" max="7" width="12.6640625" customWidth="1"/>
    <col min="8" max="8" width="14.6640625" customWidth="1"/>
    <col min="9" max="9" width="16.33203125" bestFit="1" customWidth="1"/>
    <col min="10" max="10" width="15.5546875" customWidth="1"/>
    <col min="11" max="13" width="14.21875" customWidth="1"/>
    <col min="14" max="15" width="16.44140625" bestFit="1" customWidth="1"/>
    <col min="16" max="16" width="10.21875" customWidth="1"/>
    <col min="17" max="17" width="23.5546875" customWidth="1"/>
    <col min="18" max="18" width="18.77734375" customWidth="1"/>
    <col min="19" max="19" width="17.44140625" customWidth="1"/>
  </cols>
  <sheetData>
    <row r="1" spans="1:33" ht="36" customHeight="1" thickBot="1">
      <c r="A1" s="69"/>
      <c r="B1" s="70"/>
      <c r="C1" s="30" t="s">
        <v>7</v>
      </c>
      <c r="D1" s="31" t="s">
        <v>8</v>
      </c>
      <c r="E1" s="31" t="s">
        <v>9</v>
      </c>
      <c r="F1" s="31" t="s">
        <v>10</v>
      </c>
      <c r="G1" s="31" t="s">
        <v>11</v>
      </c>
      <c r="H1" s="32" t="s">
        <v>12</v>
      </c>
      <c r="I1" s="33" t="s">
        <v>13</v>
      </c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33" ht="31.8" customHeight="1" thickBot="1">
      <c r="A2" s="71"/>
      <c r="B2" s="72"/>
      <c r="C2" s="34">
        <v>1</v>
      </c>
      <c r="D2" s="35">
        <v>44936</v>
      </c>
      <c r="E2" s="36">
        <v>45092.7</v>
      </c>
      <c r="F2" s="37">
        <v>45913</v>
      </c>
      <c r="G2" s="38">
        <v>-31.672619999999998</v>
      </c>
      <c r="H2" s="36">
        <v>0.77712000000000003</v>
      </c>
      <c r="I2" s="39">
        <f>-90-G2</f>
        <v>-58.327380000000005</v>
      </c>
      <c r="J2" s="22"/>
      <c r="K2" s="22"/>
      <c r="L2" s="22"/>
      <c r="M2" s="22"/>
      <c r="N2" s="22"/>
      <c r="R2" s="22"/>
      <c r="S2" s="22"/>
      <c r="U2" s="73" t="s">
        <v>39</v>
      </c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5"/>
    </row>
    <row r="3" spans="1:33" ht="15" thickBot="1"/>
    <row r="4" spans="1:33">
      <c r="A4" s="76" t="s">
        <v>40</v>
      </c>
      <c r="B4" s="65" t="s">
        <v>0</v>
      </c>
      <c r="C4" s="78" t="s">
        <v>41</v>
      </c>
      <c r="D4" s="79"/>
      <c r="E4" s="80"/>
      <c r="F4" s="81" t="s">
        <v>42</v>
      </c>
      <c r="G4" s="78" t="s">
        <v>43</v>
      </c>
      <c r="H4" s="79"/>
      <c r="I4" s="79"/>
      <c r="J4" s="79"/>
      <c r="K4" s="80"/>
      <c r="L4" s="65" t="s">
        <v>44</v>
      </c>
      <c r="M4" s="65" t="s">
        <v>45</v>
      </c>
      <c r="N4" s="65" t="s">
        <v>46</v>
      </c>
      <c r="O4" s="65" t="s">
        <v>47</v>
      </c>
      <c r="P4" s="67" t="s">
        <v>48</v>
      </c>
    </row>
    <row r="5" spans="1:33">
      <c r="A5" s="77"/>
      <c r="B5" s="66"/>
      <c r="C5" s="40" t="s">
        <v>49</v>
      </c>
      <c r="D5" s="41" t="s">
        <v>50</v>
      </c>
      <c r="E5" s="42" t="s">
        <v>51</v>
      </c>
      <c r="F5" s="82"/>
      <c r="G5" s="40">
        <v>1</v>
      </c>
      <c r="H5" s="41">
        <v>2</v>
      </c>
      <c r="I5" s="41">
        <v>3</v>
      </c>
      <c r="J5" s="41">
        <v>4</v>
      </c>
      <c r="K5" s="42">
        <v>5</v>
      </c>
      <c r="L5" s="66"/>
      <c r="M5" s="66"/>
      <c r="N5" s="66"/>
      <c r="O5" s="66"/>
      <c r="P5" s="68"/>
    </row>
    <row r="6" spans="1:33">
      <c r="A6" s="43">
        <f>ROW()-5</f>
        <v>1</v>
      </c>
      <c r="B6" s="44" t="s">
        <v>5</v>
      </c>
      <c r="C6" s="45">
        <v>406371</v>
      </c>
      <c r="D6" s="46">
        <v>9134060</v>
      </c>
      <c r="E6" s="47">
        <v>88</v>
      </c>
      <c r="F6" s="48">
        <v>0.29652777777777778</v>
      </c>
      <c r="G6" s="49">
        <v>45233.3</v>
      </c>
      <c r="H6" s="46">
        <v>45233.3</v>
      </c>
      <c r="I6" s="46">
        <v>45243.1</v>
      </c>
      <c r="J6" s="46">
        <v>45238.2</v>
      </c>
      <c r="K6" s="47">
        <v>45250.5</v>
      </c>
      <c r="L6" s="44">
        <f>AVERAGE(G6:K6)</f>
        <v>45239.680000000008</v>
      </c>
      <c r="M6" s="44">
        <f>VLOOKUP(F6, Base!$A$3:$B$578, 2,TRUE)</f>
        <v>45093.239586976946</v>
      </c>
      <c r="N6" s="44">
        <f>M6-45092.7</f>
        <v>0.53958697694906732</v>
      </c>
      <c r="O6" s="44">
        <f>L6-N6</f>
        <v>45239.140413023058</v>
      </c>
      <c r="P6" s="50">
        <f>O6-44936</f>
        <v>303.1404130230585</v>
      </c>
    </row>
    <row r="7" spans="1:33">
      <c r="A7" s="43">
        <f t="shared" ref="A7:A27" si="0">ROW()-5</f>
        <v>2</v>
      </c>
      <c r="B7" s="44" t="s">
        <v>14</v>
      </c>
      <c r="C7" s="49">
        <v>406127</v>
      </c>
      <c r="D7" s="46">
        <v>9134092</v>
      </c>
      <c r="E7" s="47">
        <v>82</v>
      </c>
      <c r="F7" s="48">
        <v>0.31138888888888888</v>
      </c>
      <c r="G7" s="49">
        <v>45191.8</v>
      </c>
      <c r="H7" s="46">
        <v>45204.5</v>
      </c>
      <c r="I7" s="46">
        <v>45206.5</v>
      </c>
      <c r="J7" s="46">
        <v>45210</v>
      </c>
      <c r="K7" s="47">
        <v>45213.1</v>
      </c>
      <c r="L7" s="44">
        <f t="shared" ref="L7:L27" si="1">AVERAGE(G7:K7)</f>
        <v>45205.18</v>
      </c>
      <c r="M7" s="44">
        <f>VLOOKUP(F7, Base!$A$3:$B$578, 2,TRUE)</f>
        <v>45097.361762170403</v>
      </c>
      <c r="N7" s="44">
        <f t="shared" ref="N7:N27" si="2">M7-45092.7</f>
        <v>4.6617621704062913</v>
      </c>
      <c r="O7" s="44">
        <f t="shared" ref="O7:O27" si="3">L7-N7</f>
        <v>45200.518237829594</v>
      </c>
      <c r="P7" s="50">
        <f t="shared" ref="P7:P27" si="4">O7-44936</f>
        <v>264.518237829594</v>
      </c>
    </row>
    <row r="8" spans="1:33">
      <c r="A8" s="43">
        <f t="shared" si="0"/>
        <v>3</v>
      </c>
      <c r="B8" s="51" t="s">
        <v>15</v>
      </c>
      <c r="C8" s="52">
        <v>405912</v>
      </c>
      <c r="D8" s="53">
        <v>9134097</v>
      </c>
      <c r="E8" s="54">
        <v>86</v>
      </c>
      <c r="F8" s="55">
        <v>0.32048611111111114</v>
      </c>
      <c r="G8" s="52">
        <v>45240</v>
      </c>
      <c r="H8" s="53">
        <v>45244.6</v>
      </c>
      <c r="I8" s="53">
        <v>45256.5</v>
      </c>
      <c r="J8" s="53">
        <v>45253.8</v>
      </c>
      <c r="K8" s="54">
        <v>45254.3</v>
      </c>
      <c r="L8" s="44">
        <f t="shared" si="1"/>
        <v>45249.840000000004</v>
      </c>
      <c r="M8" s="44">
        <f>VLOOKUP(F8, Base!$A$3:$B$578, 2,TRUE)</f>
        <v>45100.151698748028</v>
      </c>
      <c r="N8" s="44">
        <f t="shared" si="2"/>
        <v>7.451698748031049</v>
      </c>
      <c r="O8" s="44">
        <f t="shared" si="3"/>
        <v>45242.388301251973</v>
      </c>
      <c r="P8" s="50">
        <f t="shared" si="4"/>
        <v>306.38830125197273</v>
      </c>
    </row>
    <row r="9" spans="1:33">
      <c r="A9" s="43">
        <f t="shared" si="0"/>
        <v>4</v>
      </c>
      <c r="B9" s="44" t="s">
        <v>16</v>
      </c>
      <c r="C9" s="49">
        <v>405685</v>
      </c>
      <c r="D9" s="46">
        <v>9134110</v>
      </c>
      <c r="E9" s="47">
        <v>117</v>
      </c>
      <c r="F9" s="48">
        <v>0.33337962962962964</v>
      </c>
      <c r="G9" s="49">
        <v>45223.3</v>
      </c>
      <c r="H9" s="46">
        <v>45230</v>
      </c>
      <c r="I9" s="46">
        <v>45225.1</v>
      </c>
      <c r="J9" s="46">
        <v>45236.5</v>
      </c>
      <c r="K9" s="47">
        <v>45218.2</v>
      </c>
      <c r="L9" s="44">
        <f t="shared" si="1"/>
        <v>45226.619999999995</v>
      </c>
      <c r="M9" s="44">
        <f>VLOOKUP(F9, Base!$A$3:$B$578, 2,TRUE)</f>
        <v>45104.395061728399</v>
      </c>
      <c r="N9" s="44">
        <f t="shared" si="2"/>
        <v>11.695061728401924</v>
      </c>
      <c r="O9" s="44">
        <f t="shared" si="3"/>
        <v>45214.924938271593</v>
      </c>
      <c r="P9" s="50">
        <f t="shared" si="4"/>
        <v>278.92493827159342</v>
      </c>
    </row>
    <row r="10" spans="1:33">
      <c r="A10" s="43">
        <f t="shared" si="0"/>
        <v>5</v>
      </c>
      <c r="B10" s="44" t="s">
        <v>17</v>
      </c>
      <c r="C10" s="49">
        <v>405476</v>
      </c>
      <c r="D10" s="46">
        <v>9134119</v>
      </c>
      <c r="E10" s="47">
        <v>125</v>
      </c>
      <c r="F10" s="48">
        <v>0.34506944444444443</v>
      </c>
      <c r="G10" s="49">
        <v>45243.9</v>
      </c>
      <c r="H10" s="46">
        <v>45248.9</v>
      </c>
      <c r="I10" s="46">
        <v>45263.6</v>
      </c>
      <c r="J10" s="46">
        <v>45261.599999999999</v>
      </c>
      <c r="K10" s="47">
        <v>45258</v>
      </c>
      <c r="L10" s="44">
        <f t="shared" si="1"/>
        <v>45255.199999999997</v>
      </c>
      <c r="M10" s="44">
        <f>VLOOKUP(F10, Base!$A$3:$B$578, 2,TRUE)</f>
        <v>45107.998012741962</v>
      </c>
      <c r="N10" s="44">
        <f t="shared" si="2"/>
        <v>15.298012741965067</v>
      </c>
      <c r="O10" s="44">
        <f t="shared" si="3"/>
        <v>45239.901987258032</v>
      </c>
      <c r="P10" s="50">
        <f t="shared" si="4"/>
        <v>303.90198725803202</v>
      </c>
    </row>
    <row r="11" spans="1:33">
      <c r="A11" s="43">
        <f t="shared" si="0"/>
        <v>6</v>
      </c>
      <c r="B11" s="44" t="s">
        <v>18</v>
      </c>
      <c r="C11" s="49">
        <v>405242</v>
      </c>
      <c r="D11" s="46">
        <v>9134112</v>
      </c>
      <c r="E11" s="47">
        <v>108</v>
      </c>
      <c r="F11" s="48">
        <v>0.35543981481481479</v>
      </c>
      <c r="G11" s="49">
        <v>45165.9</v>
      </c>
      <c r="H11" s="46">
        <v>45173.3</v>
      </c>
      <c r="I11" s="46">
        <v>45159</v>
      </c>
      <c r="J11" s="46">
        <v>45166.5</v>
      </c>
      <c r="K11" s="47">
        <v>45158.7</v>
      </c>
      <c r="L11" s="44">
        <f t="shared" si="1"/>
        <v>45164.680000000008</v>
      </c>
      <c r="M11" s="44">
        <f>VLOOKUP(F11, Base!$A$3:$B$578, 2,TRUE)</f>
        <v>45111.303259642191</v>
      </c>
      <c r="N11" s="44">
        <f t="shared" si="2"/>
        <v>18.603259642193734</v>
      </c>
      <c r="O11" s="44">
        <f t="shared" si="3"/>
        <v>45146.076740357814</v>
      </c>
      <c r="P11" s="50">
        <f t="shared" si="4"/>
        <v>210.07674035781383</v>
      </c>
    </row>
    <row r="12" spans="1:33">
      <c r="A12" s="43">
        <f t="shared" si="0"/>
        <v>7</v>
      </c>
      <c r="B12" s="44" t="s">
        <v>19</v>
      </c>
      <c r="C12" s="49">
        <v>405019</v>
      </c>
      <c r="D12" s="46">
        <v>9134118</v>
      </c>
      <c r="E12" s="47">
        <v>121</v>
      </c>
      <c r="F12" s="48">
        <v>0.36883101851851852</v>
      </c>
      <c r="G12" s="49">
        <v>45198.9</v>
      </c>
      <c r="H12" s="46">
        <v>45205.2</v>
      </c>
      <c r="I12" s="46">
        <v>45214.2</v>
      </c>
      <c r="J12" s="46">
        <v>45212.2</v>
      </c>
      <c r="K12" s="47">
        <v>45210.2</v>
      </c>
      <c r="L12" s="44">
        <f t="shared" si="1"/>
        <v>45208.14</v>
      </c>
      <c r="M12" s="44">
        <f>VLOOKUP(F12, Base!$A$3:$B$578, 2,TRUE)</f>
        <v>45115.467988748169</v>
      </c>
      <c r="N12" s="44">
        <f t="shared" si="2"/>
        <v>22.767988748171774</v>
      </c>
      <c r="O12" s="44">
        <f t="shared" si="3"/>
        <v>45185.372011251828</v>
      </c>
      <c r="P12" s="50">
        <f t="shared" si="4"/>
        <v>249.37201125182764</v>
      </c>
    </row>
    <row r="13" spans="1:33">
      <c r="A13" s="43">
        <f t="shared" si="0"/>
        <v>8</v>
      </c>
      <c r="B13" s="44" t="s">
        <v>20</v>
      </c>
      <c r="C13" s="49">
        <v>404804</v>
      </c>
      <c r="D13" s="46">
        <v>9134113</v>
      </c>
      <c r="E13" s="47">
        <v>153</v>
      </c>
      <c r="F13" s="48">
        <v>0.38312499999999999</v>
      </c>
      <c r="G13" s="49">
        <v>45248.4</v>
      </c>
      <c r="H13" s="46">
        <v>45239.5</v>
      </c>
      <c r="I13" s="46">
        <v>45253.2</v>
      </c>
      <c r="J13" s="46">
        <v>45246.8</v>
      </c>
      <c r="K13" s="47">
        <v>45248.5</v>
      </c>
      <c r="L13" s="44">
        <f t="shared" si="1"/>
        <v>45247.279999999992</v>
      </c>
      <c r="M13" s="44">
        <f>VLOOKUP(F13, Base!$A$3:$B$578, 2,TRUE)</f>
        <v>45119.211784273939</v>
      </c>
      <c r="N13" s="44">
        <f t="shared" si="2"/>
        <v>26.511784273941885</v>
      </c>
      <c r="O13" s="44">
        <f t="shared" si="3"/>
        <v>45220.76821572605</v>
      </c>
      <c r="P13" s="50">
        <f t="shared" si="4"/>
        <v>284.76821572604968</v>
      </c>
    </row>
    <row r="14" spans="1:33">
      <c r="A14" s="43">
        <f t="shared" si="0"/>
        <v>9</v>
      </c>
      <c r="B14" s="51" t="s">
        <v>21</v>
      </c>
      <c r="C14" s="49">
        <v>404567</v>
      </c>
      <c r="D14" s="46">
        <v>9134111</v>
      </c>
      <c r="E14" s="47">
        <v>170</v>
      </c>
      <c r="F14" s="48">
        <v>0.39833333333333332</v>
      </c>
      <c r="G14" s="49">
        <v>45217.4</v>
      </c>
      <c r="H14" s="46">
        <v>45225.8</v>
      </c>
      <c r="I14" s="46">
        <v>45220.1</v>
      </c>
      <c r="J14" s="46">
        <v>45221.1</v>
      </c>
      <c r="K14" s="47">
        <v>45213.8</v>
      </c>
      <c r="L14" s="44">
        <f t="shared" si="1"/>
        <v>45219.64</v>
      </c>
      <c r="M14" s="44">
        <f>VLOOKUP(F14, Base!$A$3:$B$578, 2,TRUE)</f>
        <v>45122.684436851705</v>
      </c>
      <c r="N14" s="44">
        <f t="shared" si="2"/>
        <v>29.984436851707869</v>
      </c>
      <c r="O14" s="44">
        <f t="shared" si="3"/>
        <v>45189.655563148292</v>
      </c>
      <c r="P14" s="50">
        <f t="shared" si="4"/>
        <v>253.65556314829155</v>
      </c>
    </row>
    <row r="15" spans="1:33">
      <c r="A15" s="43">
        <f t="shared" si="0"/>
        <v>10</v>
      </c>
      <c r="B15" s="44" t="s">
        <v>22</v>
      </c>
      <c r="C15" s="49">
        <v>404358</v>
      </c>
      <c r="D15" s="46">
        <v>9134113</v>
      </c>
      <c r="E15" s="47">
        <v>151</v>
      </c>
      <c r="F15" s="48">
        <v>0.41798611111111111</v>
      </c>
      <c r="G15" s="49">
        <v>45362.2</v>
      </c>
      <c r="H15" s="46">
        <v>45344.6</v>
      </c>
      <c r="I15" s="46">
        <v>45352.7</v>
      </c>
      <c r="J15" s="46">
        <v>45361.1</v>
      </c>
      <c r="K15" s="47">
        <v>45362</v>
      </c>
      <c r="L15" s="44">
        <f t="shared" si="1"/>
        <v>45356.520000000004</v>
      </c>
      <c r="M15" s="44">
        <f>VLOOKUP(F15, Base!$A$3:$B$578, 2,TRUE)</f>
        <v>45125.90995081803</v>
      </c>
      <c r="N15" s="44">
        <f t="shared" si="2"/>
        <v>33.209950818032667</v>
      </c>
      <c r="O15" s="44">
        <f t="shared" si="3"/>
        <v>45323.310049181971</v>
      </c>
      <c r="P15" s="50">
        <f t="shared" si="4"/>
        <v>387.31004918197141</v>
      </c>
    </row>
    <row r="16" spans="1:33">
      <c r="A16" s="43">
        <f t="shared" si="0"/>
        <v>11</v>
      </c>
      <c r="B16" s="44" t="s">
        <v>23</v>
      </c>
      <c r="C16" s="49">
        <v>404103</v>
      </c>
      <c r="D16" s="46">
        <v>9134106</v>
      </c>
      <c r="E16" s="47">
        <v>191</v>
      </c>
      <c r="F16" s="48">
        <v>0.43245370370370373</v>
      </c>
      <c r="G16" s="49">
        <v>45290.8</v>
      </c>
      <c r="H16" s="46">
        <v>45298.2</v>
      </c>
      <c r="I16" s="46">
        <v>45298.7</v>
      </c>
      <c r="J16" s="46">
        <v>45290.1</v>
      </c>
      <c r="K16" s="47">
        <v>45285.1</v>
      </c>
      <c r="L16" s="44">
        <f t="shared" si="1"/>
        <v>45292.58</v>
      </c>
      <c r="M16" s="44">
        <f>VLOOKUP(F16, Base!$A$3:$B$578, 2,TRUE)</f>
        <v>45127.332711908799</v>
      </c>
      <c r="N16" s="44">
        <f t="shared" si="2"/>
        <v>34.632711908801866</v>
      </c>
      <c r="O16" s="44">
        <f t="shared" si="3"/>
        <v>45257.9472880912</v>
      </c>
      <c r="P16" s="50">
        <f t="shared" si="4"/>
        <v>321.94728809119988</v>
      </c>
    </row>
    <row r="17" spans="1:19">
      <c r="A17" s="43">
        <f t="shared" si="0"/>
        <v>12</v>
      </c>
      <c r="B17" s="44" t="s">
        <v>24</v>
      </c>
      <c r="C17" s="49">
        <v>403898</v>
      </c>
      <c r="D17" s="46">
        <v>9134118</v>
      </c>
      <c r="E17" s="47">
        <v>162</v>
      </c>
      <c r="F17" s="48">
        <v>0.44746527777777778</v>
      </c>
      <c r="G17" s="49">
        <v>45249.1</v>
      </c>
      <c r="H17" s="46">
        <v>45259.7</v>
      </c>
      <c r="I17" s="46">
        <v>45268.2</v>
      </c>
      <c r="J17" s="46">
        <v>45257.5</v>
      </c>
      <c r="K17" s="47">
        <v>45253.2</v>
      </c>
      <c r="L17" s="44">
        <f t="shared" si="1"/>
        <v>45257.54</v>
      </c>
      <c r="M17" s="44">
        <f>VLOOKUP(F17, Base!$A$3:$B$578, 2,TRUE)</f>
        <v>45127.838125458795</v>
      </c>
      <c r="N17" s="44">
        <f t="shared" si="2"/>
        <v>35.138125458797731</v>
      </c>
      <c r="O17" s="44">
        <f t="shared" si="3"/>
        <v>45222.401874541203</v>
      </c>
      <c r="P17" s="50">
        <f t="shared" si="4"/>
        <v>286.40187454120314</v>
      </c>
    </row>
    <row r="18" spans="1:19">
      <c r="A18" s="43">
        <f t="shared" si="0"/>
        <v>13</v>
      </c>
      <c r="B18" s="44" t="s">
        <v>25</v>
      </c>
      <c r="C18" s="52">
        <v>403672</v>
      </c>
      <c r="D18" s="53">
        <v>9134111</v>
      </c>
      <c r="E18" s="54">
        <v>180</v>
      </c>
      <c r="F18" s="56">
        <v>0.46769675925925924</v>
      </c>
      <c r="G18" s="52">
        <v>45307.4</v>
      </c>
      <c r="H18" s="53">
        <v>45303.199999999997</v>
      </c>
      <c r="I18" s="53">
        <v>45300.6</v>
      </c>
      <c r="J18" s="53">
        <v>45291.1</v>
      </c>
      <c r="K18" s="54">
        <v>45307.5</v>
      </c>
      <c r="L18" s="44">
        <f t="shared" si="1"/>
        <v>45301.960000000006</v>
      </c>
      <c r="M18" s="44">
        <f>VLOOKUP(F18, Base!$A$3:$B$578, 2,TRUE)</f>
        <v>45126.922804377195</v>
      </c>
      <c r="N18" s="44">
        <f t="shared" si="2"/>
        <v>34.222804377197463</v>
      </c>
      <c r="O18" s="44">
        <f t="shared" si="3"/>
        <v>45267.737195622809</v>
      </c>
      <c r="P18" s="50">
        <f t="shared" si="4"/>
        <v>331.73719562280894</v>
      </c>
    </row>
    <row r="19" spans="1:19">
      <c r="A19" s="43">
        <f t="shared" si="0"/>
        <v>14</v>
      </c>
      <c r="B19" s="44" t="s">
        <v>26</v>
      </c>
      <c r="C19" s="49">
        <v>403457</v>
      </c>
      <c r="D19" s="46">
        <v>9134111</v>
      </c>
      <c r="E19" s="47">
        <v>212</v>
      </c>
      <c r="F19" s="48">
        <v>0.47986111111111113</v>
      </c>
      <c r="G19" s="49">
        <v>45226.5</v>
      </c>
      <c r="H19" s="46">
        <v>45214</v>
      </c>
      <c r="I19" s="46">
        <v>45220.3</v>
      </c>
      <c r="J19" s="46">
        <v>45226.7</v>
      </c>
      <c r="K19" s="47">
        <v>45222.6</v>
      </c>
      <c r="L19" s="44">
        <f t="shared" si="1"/>
        <v>45222.020000000004</v>
      </c>
      <c r="M19" s="44">
        <f>VLOOKUP(F19, Base!$A$3:$B$578, 2,TRUE)</f>
        <v>45125.460917483964</v>
      </c>
      <c r="N19" s="44">
        <f t="shared" si="2"/>
        <v>32.760917483967205</v>
      </c>
      <c r="O19" s="44">
        <f t="shared" si="3"/>
        <v>45189.259082516037</v>
      </c>
      <c r="P19" s="50">
        <f t="shared" si="4"/>
        <v>253.25908251603687</v>
      </c>
    </row>
    <row r="20" spans="1:19">
      <c r="A20" s="43">
        <f t="shared" si="0"/>
        <v>15</v>
      </c>
      <c r="B20" s="44" t="s">
        <v>27</v>
      </c>
      <c r="C20" s="49">
        <v>403224</v>
      </c>
      <c r="D20" s="46">
        <v>9134111</v>
      </c>
      <c r="E20" s="47">
        <v>249</v>
      </c>
      <c r="F20" s="48">
        <v>0.53150462962962963</v>
      </c>
      <c r="G20" s="49">
        <v>44972.800000000003</v>
      </c>
      <c r="H20" s="46">
        <v>44989</v>
      </c>
      <c r="I20" s="46">
        <v>44982.5</v>
      </c>
      <c r="J20" s="46">
        <v>44981.599999999999</v>
      </c>
      <c r="K20" s="47">
        <v>44984.7</v>
      </c>
      <c r="L20" s="44">
        <f t="shared" si="1"/>
        <v>44982.119999999995</v>
      </c>
      <c r="M20" s="44">
        <f>VLOOKUP(F20, Base!$A$3:$B$578, 2,TRUE)</f>
        <v>45113.166032791138</v>
      </c>
      <c r="N20" s="44">
        <f t="shared" si="2"/>
        <v>20.466032791140606</v>
      </c>
      <c r="O20" s="44">
        <f t="shared" si="3"/>
        <v>44961.653967208855</v>
      </c>
      <c r="P20" s="50">
        <f t="shared" si="4"/>
        <v>25.653967208854738</v>
      </c>
    </row>
    <row r="21" spans="1:19">
      <c r="A21" s="43">
        <f t="shared" si="0"/>
        <v>16</v>
      </c>
      <c r="B21" s="44" t="s">
        <v>28</v>
      </c>
      <c r="C21" s="49">
        <v>402995</v>
      </c>
      <c r="D21" s="46">
        <v>9134125</v>
      </c>
      <c r="E21" s="47">
        <v>251</v>
      </c>
      <c r="F21" s="48">
        <v>0.53249999999999997</v>
      </c>
      <c r="G21" s="49">
        <v>45432.800000000003</v>
      </c>
      <c r="H21" s="46">
        <v>45435</v>
      </c>
      <c r="I21" s="46">
        <v>45421.9</v>
      </c>
      <c r="J21" s="46">
        <v>45428</v>
      </c>
      <c r="K21" s="47">
        <v>45440.3</v>
      </c>
      <c r="L21" s="44">
        <f t="shared" si="1"/>
        <v>45431.6</v>
      </c>
      <c r="M21" s="44">
        <f>VLOOKUP(F21, Base!$A$3:$B$578, 2,TRUE)</f>
        <v>45112.943775062522</v>
      </c>
      <c r="N21" s="44">
        <f t="shared" si="2"/>
        <v>20.243775062524946</v>
      </c>
      <c r="O21" s="44">
        <f t="shared" si="3"/>
        <v>45411.356224937474</v>
      </c>
      <c r="P21" s="50">
        <f t="shared" si="4"/>
        <v>475.3562249374736</v>
      </c>
    </row>
    <row r="22" spans="1:19">
      <c r="A22" s="43">
        <f t="shared" si="0"/>
        <v>17</v>
      </c>
      <c r="B22" s="51" t="s">
        <v>29</v>
      </c>
      <c r="C22" s="49">
        <v>402775</v>
      </c>
      <c r="D22" s="46">
        <v>9134104</v>
      </c>
      <c r="E22" s="47">
        <v>207</v>
      </c>
      <c r="F22" s="48">
        <v>0.54958333333333331</v>
      </c>
      <c r="G22" s="49">
        <v>45566.5</v>
      </c>
      <c r="H22" s="46">
        <v>45556.9</v>
      </c>
      <c r="I22" s="46">
        <v>45553.2</v>
      </c>
      <c r="J22" s="46">
        <v>45554.8</v>
      </c>
      <c r="K22" s="47">
        <v>45557.8</v>
      </c>
      <c r="L22" s="44">
        <f t="shared" si="1"/>
        <v>45557.839999999989</v>
      </c>
      <c r="M22" s="44">
        <f>VLOOKUP(F22, Base!$A$3:$B$578, 2,TRUE)</f>
        <v>45107.072432566318</v>
      </c>
      <c r="N22" s="44">
        <f t="shared" si="2"/>
        <v>14.37243256632064</v>
      </c>
      <c r="O22" s="44">
        <f t="shared" si="3"/>
        <v>45543.467567433669</v>
      </c>
      <c r="P22" s="50">
        <f t="shared" si="4"/>
        <v>607.46756743366859</v>
      </c>
    </row>
    <row r="23" spans="1:19">
      <c r="A23" s="43">
        <f t="shared" si="0"/>
        <v>18</v>
      </c>
      <c r="B23" s="44" t="s">
        <v>30</v>
      </c>
      <c r="C23" s="49">
        <v>402552</v>
      </c>
      <c r="D23" s="46">
        <v>9134109</v>
      </c>
      <c r="E23" s="47">
        <v>196</v>
      </c>
      <c r="F23" s="48">
        <v>0.56009259259259259</v>
      </c>
      <c r="G23" s="49">
        <v>45533.4</v>
      </c>
      <c r="H23" s="46">
        <v>45530.1</v>
      </c>
      <c r="I23" s="46">
        <v>45519.1</v>
      </c>
      <c r="J23" s="46">
        <v>45534.3</v>
      </c>
      <c r="K23" s="47">
        <v>45527.5</v>
      </c>
      <c r="L23" s="44">
        <f t="shared" si="1"/>
        <v>45528.880000000005</v>
      </c>
      <c r="M23" s="44">
        <f>VLOOKUP(F23, Base!$A$3:$B$578, 2,TRUE)</f>
        <v>45103.34191359597</v>
      </c>
      <c r="N23" s="44">
        <f t="shared" si="2"/>
        <v>10.641913595973165</v>
      </c>
      <c r="O23" s="44">
        <f t="shared" si="3"/>
        <v>45518.238086404031</v>
      </c>
      <c r="P23" s="50">
        <f t="shared" si="4"/>
        <v>582.23808640403149</v>
      </c>
    </row>
    <row r="24" spans="1:19">
      <c r="A24" s="43">
        <f t="shared" si="0"/>
        <v>19</v>
      </c>
      <c r="B24" s="44" t="s">
        <v>31</v>
      </c>
      <c r="C24" s="49">
        <v>402316</v>
      </c>
      <c r="D24" s="46">
        <v>9134112</v>
      </c>
      <c r="E24" s="47">
        <v>217</v>
      </c>
      <c r="F24" s="48">
        <v>0.57230324074074079</v>
      </c>
      <c r="G24" s="49">
        <v>45128</v>
      </c>
      <c r="H24" s="46">
        <v>45129</v>
      </c>
      <c r="I24" s="46">
        <v>45121.5</v>
      </c>
      <c r="J24" s="46">
        <v>45129.1</v>
      </c>
      <c r="K24" s="47">
        <v>45135.1</v>
      </c>
      <c r="L24" s="44">
        <f t="shared" si="1"/>
        <v>45128.54</v>
      </c>
      <c r="M24" s="44">
        <f>VLOOKUP(F24, Base!$A$3:$B$578, 2,TRUE)</f>
        <v>45098.78884587525</v>
      </c>
      <c r="N24" s="44">
        <f t="shared" si="2"/>
        <v>6.0888458752524457</v>
      </c>
      <c r="O24" s="44">
        <f t="shared" si="3"/>
        <v>45122.451154124748</v>
      </c>
      <c r="P24" s="50">
        <f t="shared" si="4"/>
        <v>186.45115412474843</v>
      </c>
    </row>
    <row r="25" spans="1:19">
      <c r="A25" s="43">
        <f t="shared" si="0"/>
        <v>20</v>
      </c>
      <c r="B25" s="44" t="s">
        <v>32</v>
      </c>
      <c r="C25" s="49">
        <v>402116</v>
      </c>
      <c r="D25" s="46">
        <v>9134112</v>
      </c>
      <c r="E25" s="47">
        <v>225</v>
      </c>
      <c r="F25" s="48">
        <v>0.57974537037037033</v>
      </c>
      <c r="G25" s="49">
        <v>45312.6</v>
      </c>
      <c r="H25" s="46">
        <v>45319</v>
      </c>
      <c r="I25" s="46">
        <v>45301.5</v>
      </c>
      <c r="J25" s="46">
        <v>45301.9</v>
      </c>
      <c r="K25" s="47">
        <v>45315.1</v>
      </c>
      <c r="L25" s="44">
        <f t="shared" si="1"/>
        <v>45310.020000000004</v>
      </c>
      <c r="M25" s="44">
        <f>VLOOKUP(F25, Base!$A$3:$B$578, 2,TRUE)</f>
        <v>45096.273715249445</v>
      </c>
      <c r="N25" s="44">
        <f t="shared" si="2"/>
        <v>3.5737152494475595</v>
      </c>
      <c r="O25" s="44">
        <f t="shared" si="3"/>
        <v>45306.446284750557</v>
      </c>
      <c r="P25" s="50">
        <f t="shared" si="4"/>
        <v>370.44628475055652</v>
      </c>
    </row>
    <row r="26" spans="1:19">
      <c r="A26" s="43">
        <f t="shared" si="0"/>
        <v>21</v>
      </c>
      <c r="B26" s="44" t="s">
        <v>33</v>
      </c>
      <c r="C26" s="49">
        <v>402090</v>
      </c>
      <c r="D26" s="46">
        <v>9133879</v>
      </c>
      <c r="E26" s="47">
        <v>217</v>
      </c>
      <c r="F26" s="48">
        <v>0.58806712962962959</v>
      </c>
      <c r="G26" s="49">
        <v>45374.6</v>
      </c>
      <c r="H26" s="46">
        <v>45361.1</v>
      </c>
      <c r="I26" s="46">
        <v>45362.3</v>
      </c>
      <c r="J26" s="46">
        <v>45372</v>
      </c>
      <c r="K26" s="47">
        <v>45356.7</v>
      </c>
      <c r="L26" s="44">
        <f t="shared" si="1"/>
        <v>45365.340000000004</v>
      </c>
      <c r="M26" s="44">
        <f>VLOOKUP(F26, Base!$A$3:$B$578, 2,TRUE)</f>
        <v>45093.316997705078</v>
      </c>
      <c r="N26" s="44">
        <f>M26-45092.7</f>
        <v>0.61699770508130314</v>
      </c>
      <c r="O26" s="44">
        <f t="shared" si="3"/>
        <v>45364.723002294922</v>
      </c>
      <c r="P26" s="50">
        <f t="shared" si="4"/>
        <v>428.72300229492248</v>
      </c>
    </row>
    <row r="27" spans="1:19" ht="15" thickBot="1">
      <c r="A27" s="43">
        <f t="shared" si="0"/>
        <v>22</v>
      </c>
      <c r="B27" s="57" t="s">
        <v>34</v>
      </c>
      <c r="C27" s="58">
        <v>402319</v>
      </c>
      <c r="D27" s="59">
        <v>9133889</v>
      </c>
      <c r="E27" s="60">
        <v>217</v>
      </c>
      <c r="F27" s="61">
        <v>0.6187731481481481</v>
      </c>
      <c r="G27" s="58">
        <v>45809.599999999999</v>
      </c>
      <c r="H27" s="59">
        <v>45810.5</v>
      </c>
      <c r="I27" s="59">
        <v>45814.1</v>
      </c>
      <c r="J27" s="59">
        <v>45808.3</v>
      </c>
      <c r="K27" s="60">
        <v>45807.1</v>
      </c>
      <c r="L27" s="44">
        <f>AVERAGE(G27:K27)</f>
        <v>45809.919999999998</v>
      </c>
      <c r="M27" s="44">
        <f>VLOOKUP(F27, Base!$A$3:$B$578, 2,TRUE)</f>
        <v>45083.699349588009</v>
      </c>
      <c r="N27" s="44">
        <f t="shared" si="2"/>
        <v>-9.0006504119883175</v>
      </c>
      <c r="O27" s="44">
        <f>L27-N27</f>
        <v>45818.920650411987</v>
      </c>
      <c r="P27" s="50">
        <f>O27-44936</f>
        <v>882.92065041198657</v>
      </c>
    </row>
    <row r="28" spans="1:19">
      <c r="A28" s="22"/>
      <c r="B28" s="22"/>
      <c r="C28" s="22"/>
      <c r="D28" s="22"/>
      <c r="E28" s="22"/>
      <c r="F28" s="6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19">
      <c r="A29" s="22"/>
      <c r="B29" s="22"/>
      <c r="C29" s="22"/>
      <c r="D29" s="22"/>
      <c r="E29" s="22"/>
      <c r="F29" s="6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19">
      <c r="A30" s="22"/>
      <c r="B30" s="22"/>
      <c r="C30" s="22"/>
      <c r="D30" s="22"/>
      <c r="E30" s="22"/>
      <c r="F30" s="6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19">
      <c r="A31" s="22"/>
      <c r="B31" s="22"/>
      <c r="C31" s="22"/>
      <c r="D31" s="22"/>
      <c r="E31" s="22"/>
      <c r="F31" s="62"/>
      <c r="G31" s="22"/>
      <c r="H31" s="22"/>
      <c r="I31" s="22"/>
      <c r="J31" s="22"/>
      <c r="K31" s="22"/>
      <c r="L31" s="22"/>
      <c r="M31" s="22"/>
      <c r="N31" s="22"/>
    </row>
  </sheetData>
  <mergeCells count="12">
    <mergeCell ref="N4:N5"/>
    <mergeCell ref="O4:O5"/>
    <mergeCell ref="P4:P5"/>
    <mergeCell ref="A1:B2"/>
    <mergeCell ref="U2:AG2"/>
    <mergeCell ref="A4:A5"/>
    <mergeCell ref="B4:B5"/>
    <mergeCell ref="C4:E4"/>
    <mergeCell ref="F4:F5"/>
    <mergeCell ref="G4:K4"/>
    <mergeCell ref="L4:L5"/>
    <mergeCell ref="M4:M5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326C-09EE-4DCF-B01B-BD9192D6FA0F}">
  <dimension ref="A1:U667"/>
  <sheetViews>
    <sheetView topLeftCell="A94" zoomScale="97" zoomScaleNormal="100" workbookViewId="0">
      <selection activeCell="C13" sqref="C13"/>
    </sheetView>
  </sheetViews>
  <sheetFormatPr defaultColWidth="8.88671875" defaultRowHeight="14.4"/>
  <cols>
    <col min="1" max="2" width="24" style="22" customWidth="1"/>
    <col min="3" max="3" width="17" style="22" customWidth="1"/>
    <col min="4" max="4" width="18.5546875" style="22" customWidth="1"/>
    <col min="5" max="7" width="8.88671875" style="22"/>
    <col min="8" max="8" width="11.5546875" style="22" customWidth="1"/>
    <col min="9" max="9" width="11.6640625" style="22" customWidth="1"/>
    <col min="10" max="16384" width="8.88671875" style="22"/>
  </cols>
  <sheetData>
    <row r="1" spans="1:21" ht="24" customHeight="1">
      <c r="A1" s="83" t="s">
        <v>36</v>
      </c>
      <c r="B1" s="83"/>
      <c r="C1" s="64"/>
      <c r="D1" s="64"/>
      <c r="E1" s="21"/>
      <c r="F1" s="21"/>
      <c r="G1" s="21"/>
      <c r="H1" s="21"/>
      <c r="I1" s="21"/>
    </row>
    <row r="2" spans="1:21">
      <c r="A2" s="24" t="s">
        <v>37</v>
      </c>
      <c r="B2" s="23" t="s">
        <v>38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>
      <c r="A3" s="62">
        <v>0.25347222222222221</v>
      </c>
      <c r="B3" s="63">
        <v>45086.685195337101</v>
      </c>
    </row>
    <row r="4" spans="1:21">
      <c r="A4" s="62">
        <v>0.25416666666666665</v>
      </c>
      <c r="B4" s="63">
        <v>45086.692510243658</v>
      </c>
    </row>
    <row r="5" spans="1:21">
      <c r="A5" s="62">
        <v>0.25486111111111109</v>
      </c>
      <c r="B5" s="63">
        <v>45086.703877248983</v>
      </c>
    </row>
    <row r="6" spans="1:21">
      <c r="A6" s="62">
        <v>0.25555555555555554</v>
      </c>
      <c r="B6" s="63">
        <v>45086.719252796829</v>
      </c>
    </row>
    <row r="7" spans="1:21">
      <c r="A7" s="62">
        <v>0.25624999999999998</v>
      </c>
      <c r="B7" s="63">
        <v>45086.738593484493</v>
      </c>
    </row>
    <row r="8" spans="1:21">
      <c r="A8" s="62">
        <v>0.25694444444444442</v>
      </c>
      <c r="B8" s="63">
        <v>45086.761856062818</v>
      </c>
    </row>
    <row r="9" spans="1:21">
      <c r="A9" s="62">
        <v>0.25763888888888886</v>
      </c>
      <c r="B9" s="63">
        <v>45086.788997436168</v>
      </c>
    </row>
    <row r="10" spans="1:21">
      <c r="A10" s="62">
        <v>0.25833333333333336</v>
      </c>
      <c r="B10" s="63">
        <v>45086.819974662423</v>
      </c>
    </row>
    <row r="11" spans="1:21">
      <c r="A11" s="62">
        <v>0.2590277777777778</v>
      </c>
      <c r="B11" s="63">
        <v>45086.854744953009</v>
      </c>
    </row>
    <row r="12" spans="1:21">
      <c r="A12" s="62">
        <v>0.25972222222222224</v>
      </c>
      <c r="B12" s="63">
        <v>45086.893265672872</v>
      </c>
    </row>
    <row r="13" spans="1:21">
      <c r="A13" s="62">
        <v>0.26041666666666669</v>
      </c>
      <c r="B13" s="63">
        <v>45086.935494340498</v>
      </c>
    </row>
    <row r="14" spans="1:21">
      <c r="A14" s="62">
        <v>0.26111111111111113</v>
      </c>
      <c r="B14" s="63">
        <v>45086.981388627879</v>
      </c>
    </row>
    <row r="15" spans="1:21">
      <c r="A15" s="62">
        <v>0.26180555555555557</v>
      </c>
      <c r="B15" s="63">
        <v>45087.030906360553</v>
      </c>
    </row>
    <row r="16" spans="1:21">
      <c r="A16" s="62">
        <v>0.26250000000000001</v>
      </c>
      <c r="B16" s="63">
        <v>45087.084005517579</v>
      </c>
    </row>
    <row r="17" spans="1:2">
      <c r="A17" s="62">
        <v>0.26319444444444445</v>
      </c>
      <c r="B17" s="63">
        <v>45087.140644231549</v>
      </c>
    </row>
    <row r="18" spans="1:2">
      <c r="A18" s="62">
        <v>0.2638888888888889</v>
      </c>
      <c r="B18" s="63">
        <v>45087.200780788582</v>
      </c>
    </row>
    <row r="19" spans="1:2">
      <c r="A19" s="62">
        <v>0.26458333333333334</v>
      </c>
      <c r="B19" s="63">
        <v>45087.264373628328</v>
      </c>
    </row>
    <row r="20" spans="1:2">
      <c r="A20" s="62">
        <v>0.26527777777777778</v>
      </c>
      <c r="B20" s="63">
        <v>45087.33138134396</v>
      </c>
    </row>
    <row r="21" spans="1:2">
      <c r="A21" s="62">
        <v>0.26597222222222222</v>
      </c>
      <c r="B21" s="63">
        <v>45087.401762682173</v>
      </c>
    </row>
    <row r="22" spans="1:2">
      <c r="A22" s="62">
        <v>0.26666666666666666</v>
      </c>
      <c r="B22" s="63">
        <v>45087.475476543208</v>
      </c>
    </row>
    <row r="23" spans="1:2">
      <c r="A23" s="62">
        <v>0.2673611111111111</v>
      </c>
      <c r="B23" s="63">
        <v>45087.552481980827</v>
      </c>
    </row>
    <row r="24" spans="1:2">
      <c r="A24" s="62">
        <v>0.26805555555555555</v>
      </c>
      <c r="B24" s="63">
        <v>45087.632738202308</v>
      </c>
    </row>
    <row r="25" spans="1:2">
      <c r="A25" s="62">
        <v>0.26874999999999999</v>
      </c>
      <c r="B25" s="63">
        <v>45087.716204568482</v>
      </c>
    </row>
    <row r="26" spans="1:2">
      <c r="A26" s="62">
        <v>0.26944444444444443</v>
      </c>
      <c r="B26" s="63">
        <v>45087.802840593686</v>
      </c>
    </row>
    <row r="27" spans="1:2">
      <c r="A27" s="62">
        <v>0.27013888888888887</v>
      </c>
      <c r="B27" s="63">
        <v>45087.892605945788</v>
      </c>
    </row>
    <row r="28" spans="1:2">
      <c r="A28" s="62">
        <v>0.27083333333333331</v>
      </c>
      <c r="B28" s="63">
        <v>45087.985460446202</v>
      </c>
    </row>
    <row r="29" spans="1:2">
      <c r="A29" s="62">
        <v>0.27152777777777776</v>
      </c>
      <c r="B29" s="63">
        <v>45088.081364069854</v>
      </c>
    </row>
    <row r="30" spans="1:2">
      <c r="A30" s="62">
        <v>0.2722222222222222</v>
      </c>
      <c r="B30" s="63">
        <v>45088.180276945204</v>
      </c>
    </row>
    <row r="31" spans="1:2">
      <c r="A31" s="62">
        <v>0.27291666666666664</v>
      </c>
      <c r="B31" s="63">
        <v>45088.282159354239</v>
      </c>
    </row>
    <row r="32" spans="1:2">
      <c r="A32" s="62">
        <v>0.27361111111111114</v>
      </c>
      <c r="B32" s="63">
        <v>45088.386971732478</v>
      </c>
    </row>
    <row r="33" spans="1:2">
      <c r="A33" s="62">
        <v>0.27430555555555558</v>
      </c>
      <c r="B33" s="63">
        <v>45088.494674668953</v>
      </c>
    </row>
    <row r="34" spans="1:2">
      <c r="A34" s="62">
        <v>0.27500000000000002</v>
      </c>
      <c r="B34" s="63">
        <v>45088.60522890625</v>
      </c>
    </row>
    <row r="35" spans="1:2">
      <c r="A35" s="62">
        <v>0.27569444444444446</v>
      </c>
      <c r="B35" s="63">
        <v>45088.718595340462</v>
      </c>
    </row>
    <row r="36" spans="1:2">
      <c r="A36" s="62">
        <v>0.27638888888888891</v>
      </c>
      <c r="B36" s="63">
        <v>45088.834735021228</v>
      </c>
    </row>
    <row r="37" spans="1:2">
      <c r="A37" s="62">
        <v>0.27708333333333335</v>
      </c>
      <c r="B37" s="63">
        <v>45088.953609151693</v>
      </c>
    </row>
    <row r="38" spans="1:2">
      <c r="A38" s="62">
        <v>0.27777777777777779</v>
      </c>
      <c r="B38" s="63">
        <v>45089.075179088555</v>
      </c>
    </row>
    <row r="39" spans="1:2">
      <c r="A39" s="62">
        <v>0.27847222222222223</v>
      </c>
      <c r="B39" s="63">
        <v>45089.199406342021</v>
      </c>
    </row>
    <row r="40" spans="1:2">
      <c r="A40" s="62">
        <v>0.27916666666666667</v>
      </c>
      <c r="B40" s="63">
        <v>45089.326252575833</v>
      </c>
    </row>
    <row r="41" spans="1:2">
      <c r="A41" s="62">
        <v>0.27986111111111112</v>
      </c>
      <c r="B41" s="63">
        <v>45089.455679607272</v>
      </c>
    </row>
    <row r="42" spans="1:2">
      <c r="A42" s="62">
        <v>0.28055555555555556</v>
      </c>
      <c r="B42" s="63">
        <v>45089.587649407127</v>
      </c>
    </row>
    <row r="43" spans="1:2">
      <c r="A43" s="62">
        <v>0.28125</v>
      </c>
      <c r="B43" s="63">
        <v>45089.722124099731</v>
      </c>
    </row>
    <row r="44" spans="1:2">
      <c r="A44" s="62">
        <v>0.28194444444444444</v>
      </c>
      <c r="B44" s="63">
        <v>45089.859065962941</v>
      </c>
    </row>
    <row r="45" spans="1:2">
      <c r="A45" s="62">
        <v>0.28263888888888888</v>
      </c>
      <c r="B45" s="63">
        <v>45089.998437428141</v>
      </c>
    </row>
    <row r="46" spans="1:2">
      <c r="A46" s="62">
        <v>0.28333333333333333</v>
      </c>
      <c r="B46" s="63">
        <v>45090.140201080249</v>
      </c>
    </row>
    <row r="47" spans="1:2">
      <c r="A47" s="62">
        <v>0.28402777777777777</v>
      </c>
      <c r="B47" s="63">
        <v>45090.284319657694</v>
      </c>
    </row>
    <row r="48" spans="1:2">
      <c r="A48" s="62">
        <v>0.28472222222222221</v>
      </c>
      <c r="B48" s="63">
        <v>45090.430756052461</v>
      </c>
    </row>
    <row r="49" spans="1:2">
      <c r="A49" s="62">
        <v>0.28541666666666665</v>
      </c>
      <c r="B49" s="63">
        <v>45090.579473310041</v>
      </c>
    </row>
    <row r="50" spans="1:2">
      <c r="A50" s="62">
        <v>0.28611111111111109</v>
      </c>
      <c r="B50" s="63">
        <v>45090.730434629462</v>
      </c>
    </row>
    <row r="51" spans="1:2">
      <c r="A51" s="62">
        <v>0.28680555555555554</v>
      </c>
      <c r="B51" s="63">
        <v>45090.883603363283</v>
      </c>
    </row>
    <row r="52" spans="1:2">
      <c r="A52" s="62">
        <v>0.28749999999999998</v>
      </c>
      <c r="B52" s="63">
        <v>45091.038943017578</v>
      </c>
    </row>
    <row r="53" spans="1:2">
      <c r="A53" s="62">
        <v>0.28819444444444442</v>
      </c>
      <c r="B53" s="63">
        <v>45091.196417251966</v>
      </c>
    </row>
    <row r="54" spans="1:2">
      <c r="A54" s="62">
        <v>0.28888888888888886</v>
      </c>
      <c r="B54" s="63">
        <v>45091.355989879594</v>
      </c>
    </row>
    <row r="55" spans="1:2">
      <c r="A55" s="62">
        <v>0.28958333333333336</v>
      </c>
      <c r="B55" s="63">
        <v>45091.51762486712</v>
      </c>
    </row>
    <row r="56" spans="1:2">
      <c r="A56" s="62">
        <v>0.2902777777777778</v>
      </c>
      <c r="B56" s="63">
        <v>45091.681286334744</v>
      </c>
    </row>
    <row r="57" spans="1:2">
      <c r="A57" s="62">
        <v>0.29097222222222224</v>
      </c>
      <c r="B57" s="63">
        <v>45091.846938556191</v>
      </c>
    </row>
    <row r="58" spans="1:2">
      <c r="A58" s="62">
        <v>0.29166666666666669</v>
      </c>
      <c r="B58" s="63">
        <v>45092.014545958722</v>
      </c>
    </row>
    <row r="59" spans="1:2">
      <c r="A59" s="62">
        <v>0.29236111111111113</v>
      </c>
      <c r="B59" s="63">
        <v>45092.184073123106</v>
      </c>
    </row>
    <row r="60" spans="1:2">
      <c r="A60" s="62">
        <v>0.29305555555555557</v>
      </c>
      <c r="B60" s="63">
        <v>45092.355484783671</v>
      </c>
    </row>
    <row r="61" spans="1:2">
      <c r="A61" s="62">
        <v>0.29375000000000001</v>
      </c>
      <c r="B61" s="63">
        <v>45092.528745828247</v>
      </c>
    </row>
    <row r="62" spans="1:2">
      <c r="A62" s="62">
        <v>0.29444444444444445</v>
      </c>
      <c r="B62" s="63">
        <v>45092.703821298201</v>
      </c>
    </row>
    <row r="63" spans="1:2">
      <c r="A63" s="62">
        <v>0.2951388888888889</v>
      </c>
      <c r="B63" s="63">
        <v>45092.880676388435</v>
      </c>
    </row>
    <row r="64" spans="1:2">
      <c r="A64" s="62">
        <v>0.29583333333333334</v>
      </c>
      <c r="B64" s="63">
        <v>45093.059276447362</v>
      </c>
    </row>
    <row r="65" spans="1:2">
      <c r="A65" s="62">
        <v>0.29652777777777778</v>
      </c>
      <c r="B65" s="63">
        <v>45093.239586976946</v>
      </c>
    </row>
    <row r="66" spans="1:2">
      <c r="A66" s="62">
        <v>0.29722222222222222</v>
      </c>
      <c r="B66" s="63">
        <v>45093.421573632666</v>
      </c>
    </row>
    <row r="67" spans="1:2">
      <c r="A67" s="62">
        <v>0.29791666666666666</v>
      </c>
      <c r="B67" s="63">
        <v>45093.605202223524</v>
      </c>
    </row>
    <row r="68" spans="1:2">
      <c r="A68" s="62">
        <v>0.2986111111111111</v>
      </c>
      <c r="B68" s="63">
        <v>45093.790438712073</v>
      </c>
    </row>
    <row r="69" spans="1:2">
      <c r="A69" s="62">
        <v>0.29930555555555555</v>
      </c>
      <c r="B69" s="63">
        <v>45093.97724921436</v>
      </c>
    </row>
    <row r="70" spans="1:2">
      <c r="A70" s="62">
        <v>0.3</v>
      </c>
      <c r="B70" s="63">
        <v>45094.1656</v>
      </c>
    </row>
    <row r="71" spans="1:2">
      <c r="A71" s="62">
        <v>0.30069444444444443</v>
      </c>
      <c r="B71" s="63">
        <v>45094.3554574921</v>
      </c>
    </row>
    <row r="72" spans="1:2">
      <c r="A72" s="62">
        <v>0.30138888888888887</v>
      </c>
      <c r="B72" s="63">
        <v>45094.546788267326</v>
      </c>
    </row>
    <row r="73" spans="1:2">
      <c r="A73" s="62">
        <v>0.30208333333333331</v>
      </c>
      <c r="B73" s="63">
        <v>45094.739559055844</v>
      </c>
    </row>
    <row r="74" spans="1:2">
      <c r="A74" s="62">
        <v>0.30277777777777776</v>
      </c>
      <c r="B74" s="63">
        <v>45094.933736741375</v>
      </c>
    </row>
    <row r="75" spans="1:2">
      <c r="A75" s="62">
        <v>0.3034722222222222</v>
      </c>
      <c r="B75" s="63">
        <v>45095.129288361146</v>
      </c>
    </row>
    <row r="76" spans="1:2">
      <c r="A76" s="62">
        <v>0.30416666666666664</v>
      </c>
      <c r="B76" s="63">
        <v>45095.326181105927</v>
      </c>
    </row>
    <row r="77" spans="1:2">
      <c r="A77" s="62">
        <v>0.30486111111111114</v>
      </c>
      <c r="B77" s="63">
        <v>45095.524382320014</v>
      </c>
    </row>
    <row r="78" spans="1:2">
      <c r="A78" s="62">
        <v>0.30555555555555558</v>
      </c>
      <c r="B78" s="63">
        <v>45095.723859501217</v>
      </c>
    </row>
    <row r="79" spans="1:2">
      <c r="A79" s="62">
        <v>0.30625000000000002</v>
      </c>
      <c r="B79" s="63">
        <v>45095.924580300903</v>
      </c>
    </row>
    <row r="80" spans="1:2">
      <c r="A80" s="62">
        <v>0.30694444444444446</v>
      </c>
      <c r="B80" s="63">
        <v>45096.126512523944</v>
      </c>
    </row>
    <row r="81" spans="1:2">
      <c r="A81" s="62">
        <v>0.30763888888888891</v>
      </c>
      <c r="B81" s="63">
        <v>45096.329624128739</v>
      </c>
    </row>
    <row r="82" spans="1:2">
      <c r="A82" s="62">
        <v>0.30833333333333335</v>
      </c>
      <c r="B82" s="63">
        <v>45096.533883227239</v>
      </c>
    </row>
    <row r="83" spans="1:2">
      <c r="A83" s="62">
        <v>0.30902777777777779</v>
      </c>
      <c r="B83" s="63">
        <v>45096.739258084897</v>
      </c>
    </row>
    <row r="84" spans="1:2">
      <c r="A84" s="62">
        <v>0.30972222222222223</v>
      </c>
      <c r="B84" s="63">
        <v>45096.945717120703</v>
      </c>
    </row>
    <row r="85" spans="1:2">
      <c r="A85" s="62">
        <v>0.31041666666666667</v>
      </c>
      <c r="B85" s="63">
        <v>45097.153228907191</v>
      </c>
    </row>
    <row r="86" spans="1:2">
      <c r="A86" s="62">
        <v>0.31111111111111112</v>
      </c>
      <c r="B86" s="63">
        <v>45097.361762170403</v>
      </c>
    </row>
    <row r="87" spans="1:2">
      <c r="A87" s="62">
        <v>0.31180555555555556</v>
      </c>
      <c r="B87" s="63">
        <v>45097.571285789913</v>
      </c>
    </row>
    <row r="88" spans="1:2">
      <c r="A88" s="62">
        <v>0.3125</v>
      </c>
      <c r="B88" s="63">
        <v>45097.781768798828</v>
      </c>
    </row>
    <row r="89" spans="1:2">
      <c r="A89" s="62">
        <v>0.31319444444444444</v>
      </c>
      <c r="B89" s="63">
        <v>45097.99318038379</v>
      </c>
    </row>
    <row r="90" spans="1:2">
      <c r="A90" s="62">
        <v>0.31388888888888888</v>
      </c>
      <c r="B90" s="63">
        <v>45098.205489884953</v>
      </c>
    </row>
    <row r="91" spans="1:2">
      <c r="A91" s="62">
        <v>0.31458333333333333</v>
      </c>
      <c r="B91" s="63">
        <v>45098.418666796009</v>
      </c>
    </row>
    <row r="92" spans="1:2">
      <c r="A92" s="62">
        <v>0.31527777777777777</v>
      </c>
      <c r="B92" s="63">
        <v>45098.632680764182</v>
      </c>
    </row>
    <row r="93" spans="1:2">
      <c r="A93" s="62">
        <v>0.31597222222222221</v>
      </c>
      <c r="B93" s="63">
        <v>45098.847501590222</v>
      </c>
    </row>
    <row r="94" spans="1:2">
      <c r="A94" s="62">
        <v>0.31666666666666665</v>
      </c>
      <c r="B94" s="63">
        <v>45099.063099228399</v>
      </c>
    </row>
    <row r="95" spans="1:2">
      <c r="A95" s="62">
        <v>0.31736111111111109</v>
      </c>
      <c r="B95" s="63">
        <v>45099.279443786516</v>
      </c>
    </row>
    <row r="96" spans="1:2">
      <c r="A96" s="62">
        <v>0.31805555555555554</v>
      </c>
      <c r="B96" s="63">
        <v>45099.496505525916</v>
      </c>
    </row>
    <row r="97" spans="1:2">
      <c r="A97" s="62">
        <v>0.31874999999999998</v>
      </c>
      <c r="B97" s="63">
        <v>45099.71425486145</v>
      </c>
    </row>
    <row r="98" spans="1:2">
      <c r="A98" s="62">
        <v>0.31944444444444442</v>
      </c>
      <c r="B98" s="63">
        <v>45099.932662361512</v>
      </c>
    </row>
    <row r="99" spans="1:2">
      <c r="A99" s="62">
        <v>0.32013888888888886</v>
      </c>
      <c r="B99" s="63">
        <v>45100.151698748028</v>
      </c>
    </row>
    <row r="100" spans="1:2">
      <c r="A100" s="62">
        <v>0.32083333333333336</v>
      </c>
      <c r="B100" s="63">
        <v>45100.371334896437</v>
      </c>
    </row>
    <row r="101" spans="1:2">
      <c r="A101" s="62">
        <v>0.3215277777777778</v>
      </c>
      <c r="B101" s="63">
        <v>45100.591541835711</v>
      </c>
    </row>
    <row r="102" spans="1:2">
      <c r="A102" s="62">
        <v>0.32222222222222224</v>
      </c>
      <c r="B102" s="63">
        <v>45100.812290748363</v>
      </c>
    </row>
    <row r="103" spans="1:2">
      <c r="A103" s="62">
        <v>0.32291666666666669</v>
      </c>
      <c r="B103" s="63">
        <v>45101.033552970417</v>
      </c>
    </row>
    <row r="104" spans="1:2">
      <c r="A104" s="62">
        <v>0.32361111111111113</v>
      </c>
      <c r="B104" s="63">
        <v>45101.255299991433</v>
      </c>
    </row>
    <row r="105" spans="1:2">
      <c r="A105" s="62">
        <v>0.32430555555555557</v>
      </c>
      <c r="B105" s="63">
        <v>45101.477503454509</v>
      </c>
    </row>
    <row r="106" spans="1:2">
      <c r="A106" s="62">
        <v>0.32500000000000001</v>
      </c>
      <c r="B106" s="63">
        <v>45101.70013515625</v>
      </c>
    </row>
    <row r="107" spans="1:2">
      <c r="A107" s="62">
        <v>0.32569444444444445</v>
      </c>
      <c r="B107" s="63">
        <v>45101.923167046807</v>
      </c>
    </row>
    <row r="108" spans="1:2">
      <c r="A108" s="62">
        <v>0.3263888888888889</v>
      </c>
      <c r="B108" s="63">
        <v>45102.14657122986</v>
      </c>
    </row>
    <row r="109" spans="1:2">
      <c r="A109" s="62">
        <v>0.32708333333333334</v>
      </c>
      <c r="B109" s="63">
        <v>45102.370319962603</v>
      </c>
    </row>
    <row r="110" spans="1:2">
      <c r="A110" s="62">
        <v>0.32777777777777778</v>
      </c>
      <c r="B110" s="63">
        <v>45102.594385655771</v>
      </c>
    </row>
    <row r="111" spans="1:2">
      <c r="A111" s="62">
        <v>0.32847222222222222</v>
      </c>
      <c r="B111" s="63">
        <v>45102.818740873619</v>
      </c>
    </row>
    <row r="112" spans="1:2">
      <c r="A112" s="62">
        <v>0.32916666666666666</v>
      </c>
      <c r="B112" s="63">
        <v>45103.043358333933</v>
      </c>
    </row>
    <row r="113" spans="1:2">
      <c r="A113" s="62">
        <v>0.3298611111111111</v>
      </c>
      <c r="B113" s="63">
        <v>45103.268210908042</v>
      </c>
    </row>
    <row r="114" spans="1:2">
      <c r="A114" s="62">
        <v>0.33055555555555555</v>
      </c>
      <c r="B114" s="63">
        <v>45103.493271620777</v>
      </c>
    </row>
    <row r="115" spans="1:2">
      <c r="A115" s="62">
        <v>0.33124999999999999</v>
      </c>
      <c r="B115" s="63">
        <v>45103.718513650514</v>
      </c>
    </row>
    <row r="116" spans="1:2">
      <c r="A116" s="62">
        <v>0.33194444444444443</v>
      </c>
      <c r="B116" s="63">
        <v>45103.943910329152</v>
      </c>
    </row>
    <row r="117" spans="1:2">
      <c r="A117" s="62">
        <v>0.33263888888888887</v>
      </c>
      <c r="B117" s="63">
        <v>45104.169435142132</v>
      </c>
    </row>
    <row r="118" spans="1:2">
      <c r="A118" s="62">
        <v>0.33333333333333331</v>
      </c>
      <c r="B118" s="63">
        <v>45104.395061728399</v>
      </c>
    </row>
    <row r="119" spans="1:2">
      <c r="A119" s="62">
        <v>0.33402777777777776</v>
      </c>
      <c r="B119" s="63">
        <v>45104.620763880441</v>
      </c>
    </row>
    <row r="120" spans="1:2">
      <c r="A120" s="62">
        <v>0.3347222222222222</v>
      </c>
      <c r="B120" s="63">
        <v>45104.846515544275</v>
      </c>
    </row>
    <row r="121" spans="1:2">
      <c r="A121" s="62">
        <v>0.33541666666666664</v>
      </c>
      <c r="B121" s="63">
        <v>45105.072290819444</v>
      </c>
    </row>
    <row r="122" spans="1:2">
      <c r="A122" s="62">
        <v>0.33611111111111114</v>
      </c>
      <c r="B122" s="63">
        <v>45105.298063959024</v>
      </c>
    </row>
    <row r="123" spans="1:2">
      <c r="A123" s="62">
        <v>0.33680555555555558</v>
      </c>
      <c r="B123" s="63">
        <v>45105.52380936961</v>
      </c>
    </row>
    <row r="124" spans="1:2">
      <c r="A124" s="62">
        <v>0.33750000000000002</v>
      </c>
      <c r="B124" s="63">
        <v>45105.749501611324</v>
      </c>
    </row>
    <row r="125" spans="1:2">
      <c r="A125" s="62">
        <v>0.33819444444444446</v>
      </c>
      <c r="B125" s="63">
        <v>45105.975115397836</v>
      </c>
    </row>
    <row r="126" spans="1:2">
      <c r="A126" s="62">
        <v>0.33888888888888891</v>
      </c>
      <c r="B126" s="63">
        <v>45106.200625596328</v>
      </c>
    </row>
    <row r="127" spans="1:2">
      <c r="A127" s="62">
        <v>0.33958333333333335</v>
      </c>
      <c r="B127" s="63">
        <v>45106.426007227506</v>
      </c>
    </row>
    <row r="128" spans="1:2">
      <c r="A128" s="62">
        <v>0.34027777777777779</v>
      </c>
      <c r="B128" s="63">
        <v>45106.651235465615</v>
      </c>
    </row>
    <row r="129" spans="1:2">
      <c r="A129" s="62">
        <v>0.34097222222222223</v>
      </c>
      <c r="B129" s="63">
        <v>45106.876285638427</v>
      </c>
    </row>
    <row r="130" spans="1:2">
      <c r="A130" s="62">
        <v>0.34166666666666667</v>
      </c>
      <c r="B130" s="63">
        <v>45107.101133227239</v>
      </c>
    </row>
    <row r="131" spans="1:2">
      <c r="A131" s="62">
        <v>0.34236111111111112</v>
      </c>
      <c r="B131" s="63">
        <v>45107.325753866877</v>
      </c>
    </row>
    <row r="132" spans="1:2">
      <c r="A132" s="62">
        <v>0.34305555555555556</v>
      </c>
      <c r="B132" s="63">
        <v>45107.550123345703</v>
      </c>
    </row>
    <row r="133" spans="1:2">
      <c r="A133" s="62">
        <v>0.34375</v>
      </c>
      <c r="B133" s="63">
        <v>45107.774217605591</v>
      </c>
    </row>
    <row r="134" spans="1:2">
      <c r="A134" s="62">
        <v>0.34444444444444444</v>
      </c>
      <c r="B134" s="63">
        <v>45107.998012741962</v>
      </c>
    </row>
    <row r="135" spans="1:2">
      <c r="A135" s="62">
        <v>0.34513888888888888</v>
      </c>
      <c r="B135" s="63">
        <v>45108.221485003749</v>
      </c>
    </row>
    <row r="136" spans="1:2">
      <c r="A136" s="62">
        <v>0.34583333333333333</v>
      </c>
      <c r="B136" s="63">
        <v>45108.444610793427</v>
      </c>
    </row>
    <row r="137" spans="1:2">
      <c r="A137" s="62">
        <v>0.34652777777777777</v>
      </c>
      <c r="B137" s="63">
        <v>45108.667366666989</v>
      </c>
    </row>
    <row r="138" spans="1:2">
      <c r="A138" s="62">
        <v>0.34722222222222221</v>
      </c>
      <c r="B138" s="63">
        <v>45108.889729333969</v>
      </c>
    </row>
    <row r="139" spans="1:2">
      <c r="A139" s="62">
        <v>0.34791666666666665</v>
      </c>
      <c r="B139" s="63">
        <v>45109.111675657412</v>
      </c>
    </row>
    <row r="140" spans="1:2">
      <c r="A140" s="62">
        <v>0.34861111111111109</v>
      </c>
      <c r="B140" s="63">
        <v>45109.3331826539</v>
      </c>
    </row>
    <row r="141" spans="1:2">
      <c r="A141" s="62">
        <v>0.34930555555555554</v>
      </c>
      <c r="B141" s="63">
        <v>45109.554227493551</v>
      </c>
    </row>
    <row r="142" spans="1:2">
      <c r="A142" s="62">
        <v>0.35</v>
      </c>
      <c r="B142" s="63">
        <v>45109.774787499999</v>
      </c>
    </row>
    <row r="143" spans="1:2">
      <c r="A143" s="62">
        <v>0.35069444444444442</v>
      </c>
      <c r="B143" s="63">
        <v>45109.994840150415</v>
      </c>
    </row>
    <row r="144" spans="1:2">
      <c r="A144" s="62">
        <v>0.35138888888888886</v>
      </c>
      <c r="B144" s="63">
        <v>45110.214363075494</v>
      </c>
    </row>
    <row r="145" spans="1:2">
      <c r="A145" s="62">
        <v>0.35208333333333336</v>
      </c>
      <c r="B145" s="63">
        <v>45110.43333405946</v>
      </c>
    </row>
    <row r="146" spans="1:2">
      <c r="A146" s="62">
        <v>0.3527777777777778</v>
      </c>
      <c r="B146" s="63">
        <v>45110.651731040074</v>
      </c>
    </row>
    <row r="147" spans="1:2">
      <c r="A147" s="62">
        <v>0.35347222222222224</v>
      </c>
      <c r="B147" s="63">
        <v>45110.869532108598</v>
      </c>
    </row>
    <row r="148" spans="1:2">
      <c r="A148" s="62">
        <v>0.35416666666666669</v>
      </c>
      <c r="B148" s="63">
        <v>45111.08671550986</v>
      </c>
    </row>
    <row r="149" spans="1:2">
      <c r="A149" s="62">
        <v>0.35486111111111113</v>
      </c>
      <c r="B149" s="63">
        <v>45111.303259642191</v>
      </c>
    </row>
    <row r="150" spans="1:2">
      <c r="A150" s="62">
        <v>0.35555555555555557</v>
      </c>
      <c r="B150" s="63">
        <v>45111.519143057463</v>
      </c>
    </row>
    <row r="151" spans="1:2">
      <c r="A151" s="62">
        <v>0.35625000000000001</v>
      </c>
      <c r="B151" s="63">
        <v>45111.73434446106</v>
      </c>
    </row>
    <row r="152" spans="1:2">
      <c r="A152" s="62">
        <v>0.35694444444444445</v>
      </c>
      <c r="B152" s="63">
        <v>45111.948842711914</v>
      </c>
    </row>
    <row r="153" spans="1:2">
      <c r="A153" s="62">
        <v>0.3576388888888889</v>
      </c>
      <c r="B153" s="63">
        <v>45112.162616822476</v>
      </c>
    </row>
    <row r="154" spans="1:2">
      <c r="A154" s="62">
        <v>0.35833333333333334</v>
      </c>
      <c r="B154" s="63">
        <v>45112.375645958717</v>
      </c>
    </row>
    <row r="155" spans="1:2">
      <c r="A155" s="62">
        <v>0.35902777777777778</v>
      </c>
      <c r="B155" s="63">
        <v>45112.587909440161</v>
      </c>
    </row>
    <row r="156" spans="1:2">
      <c r="A156" s="62">
        <v>0.35972222222222222</v>
      </c>
      <c r="B156" s="63">
        <v>45112.799386739833</v>
      </c>
    </row>
    <row r="157" spans="1:2">
      <c r="A157" s="62">
        <v>0.36041666666666666</v>
      </c>
      <c r="B157" s="63">
        <v>45113.010057484302</v>
      </c>
    </row>
    <row r="158" spans="1:2">
      <c r="A158" s="62">
        <v>0.3611111111111111</v>
      </c>
      <c r="B158" s="63">
        <v>45113.219901453667</v>
      </c>
    </row>
    <row r="159" spans="1:2">
      <c r="A159" s="62">
        <v>0.36180555555555555</v>
      </c>
      <c r="B159" s="63">
        <v>45113.428898581544</v>
      </c>
    </row>
    <row r="160" spans="1:2">
      <c r="A160" s="62">
        <v>0.36249999999999999</v>
      </c>
      <c r="B160" s="63">
        <v>45113.637028955076</v>
      </c>
    </row>
    <row r="161" spans="1:2">
      <c r="A161" s="62">
        <v>0.36319444444444443</v>
      </c>
      <c r="B161" s="63">
        <v>45113.84427281496</v>
      </c>
    </row>
    <row r="162" spans="1:2">
      <c r="A162" s="62">
        <v>0.36388888888888887</v>
      </c>
      <c r="B162" s="63">
        <v>45114.050610555387</v>
      </c>
    </row>
    <row r="163" spans="1:2">
      <c r="A163" s="62">
        <v>0.36458333333333331</v>
      </c>
      <c r="B163" s="63">
        <v>45114.256022724105</v>
      </c>
    </row>
    <row r="164" spans="1:2">
      <c r="A164" s="62">
        <v>0.36527777777777776</v>
      </c>
      <c r="B164" s="63">
        <v>45114.460490022371</v>
      </c>
    </row>
    <row r="165" spans="1:2">
      <c r="A165" s="62">
        <v>0.3659722222222222</v>
      </c>
      <c r="B165" s="63">
        <v>45114.663993304974</v>
      </c>
    </row>
    <row r="166" spans="1:2">
      <c r="A166" s="62">
        <v>0.36666666666666664</v>
      </c>
      <c r="B166" s="63">
        <v>45114.866513580244</v>
      </c>
    </row>
    <row r="167" spans="1:2">
      <c r="A167" s="62">
        <v>0.36736111111111114</v>
      </c>
      <c r="B167" s="63">
        <v>45115.068032010029</v>
      </c>
    </row>
    <row r="168" spans="1:2">
      <c r="A168" s="62">
        <v>0.36805555555555558</v>
      </c>
      <c r="B168" s="63">
        <v>45115.268529909699</v>
      </c>
    </row>
    <row r="169" spans="1:2">
      <c r="A169" s="62">
        <v>0.36875000000000002</v>
      </c>
      <c r="B169" s="63">
        <v>45115.467988748169</v>
      </c>
    </row>
    <row r="170" spans="1:2">
      <c r="A170" s="62">
        <v>0.36944444444444446</v>
      </c>
      <c r="B170" s="63">
        <v>45115.666390147868</v>
      </c>
    </row>
    <row r="171" spans="1:2">
      <c r="A171" s="62">
        <v>0.37013888888888891</v>
      </c>
      <c r="B171" s="63">
        <v>45115.863715884756</v>
      </c>
    </row>
    <row r="172" spans="1:2">
      <c r="A172" s="62">
        <v>0.37083333333333335</v>
      </c>
      <c r="B172" s="63">
        <v>45116.059947888338</v>
      </c>
    </row>
    <row r="173" spans="1:2">
      <c r="A173" s="62">
        <v>0.37152777777777779</v>
      </c>
      <c r="B173" s="63">
        <v>45116.255068241619</v>
      </c>
    </row>
    <row r="174" spans="1:2">
      <c r="A174" s="62">
        <v>0.37222222222222223</v>
      </c>
      <c r="B174" s="63">
        <v>45116.449059181148</v>
      </c>
    </row>
    <row r="175" spans="1:2">
      <c r="A175" s="62">
        <v>0.37291666666666667</v>
      </c>
      <c r="B175" s="63">
        <v>45116.641903097006</v>
      </c>
    </row>
    <row r="176" spans="1:2">
      <c r="A176" s="62">
        <v>0.37361111111111112</v>
      </c>
      <c r="B176" s="63">
        <v>45116.833582532803</v>
      </c>
    </row>
    <row r="177" spans="1:2">
      <c r="A177" s="62">
        <v>0.37430555555555556</v>
      </c>
      <c r="B177" s="63">
        <v>45117.024080185663</v>
      </c>
    </row>
    <row r="178" spans="1:2">
      <c r="A178" s="62">
        <v>0.375</v>
      </c>
      <c r="B178" s="63">
        <v>45117.21337890625</v>
      </c>
    </row>
    <row r="179" spans="1:2">
      <c r="A179" s="62">
        <v>0.37569444444444444</v>
      </c>
      <c r="B179" s="63">
        <v>45117.401461698755</v>
      </c>
    </row>
    <row r="180" spans="1:2">
      <c r="A180" s="62">
        <v>0.37638888888888888</v>
      </c>
      <c r="B180" s="63">
        <v>45117.588311720901</v>
      </c>
    </row>
    <row r="181" spans="1:2">
      <c r="A181" s="62">
        <v>0.37708333333333333</v>
      </c>
      <c r="B181" s="63">
        <v>45117.773912283927</v>
      </c>
    </row>
    <row r="182" spans="1:2">
      <c r="A182" s="62">
        <v>0.37777777777777777</v>
      </c>
      <c r="B182" s="63">
        <v>45117.958246852613</v>
      </c>
    </row>
    <row r="183" spans="1:2">
      <c r="A183" s="62">
        <v>0.37847222222222221</v>
      </c>
      <c r="B183" s="63">
        <v>45118.141299045259</v>
      </c>
    </row>
    <row r="184" spans="1:2">
      <c r="A184" s="62">
        <v>0.37916666666666665</v>
      </c>
      <c r="B184" s="63">
        <v>45118.323052633707</v>
      </c>
    </row>
    <row r="185" spans="1:2">
      <c r="A185" s="62">
        <v>0.37986111111111109</v>
      </c>
      <c r="B185" s="63">
        <v>45118.503491543299</v>
      </c>
    </row>
    <row r="186" spans="1:2">
      <c r="A186" s="62">
        <v>0.38055555555555554</v>
      </c>
      <c r="B186" s="63">
        <v>45118.682599852946</v>
      </c>
    </row>
    <row r="187" spans="1:2">
      <c r="A187" s="62">
        <v>0.38124999999999998</v>
      </c>
      <c r="B187" s="63">
        <v>45118.860361795043</v>
      </c>
    </row>
    <row r="188" spans="1:2">
      <c r="A188" s="62">
        <v>0.38194444444444442</v>
      </c>
      <c r="B188" s="63">
        <v>45119.036761755553</v>
      </c>
    </row>
    <row r="189" spans="1:2">
      <c r="A189" s="62">
        <v>0.38263888888888886</v>
      </c>
      <c r="B189" s="63">
        <v>45119.211784273939</v>
      </c>
    </row>
    <row r="190" spans="1:2">
      <c r="A190" s="62">
        <v>0.38333333333333336</v>
      </c>
      <c r="B190" s="63">
        <v>45119.385414043209</v>
      </c>
    </row>
    <row r="191" spans="1:2">
      <c r="A191" s="62">
        <v>0.3840277777777778</v>
      </c>
      <c r="B191" s="63">
        <v>45119.557635909892</v>
      </c>
    </row>
    <row r="192" spans="1:2">
      <c r="A192" s="62">
        <v>0.38472222222222224</v>
      </c>
      <c r="B192" s="63">
        <v>45119.72843487405</v>
      </c>
    </row>
    <row r="193" spans="1:2">
      <c r="A193" s="62">
        <v>0.38541666666666669</v>
      </c>
      <c r="B193" s="63">
        <v>45119.897796089266</v>
      </c>
    </row>
    <row r="194" spans="1:2">
      <c r="A194" s="62">
        <v>0.38611111111111113</v>
      </c>
      <c r="B194" s="63">
        <v>45120.06570486266</v>
      </c>
    </row>
    <row r="195" spans="1:2">
      <c r="A195" s="62">
        <v>0.38680555555555557</v>
      </c>
      <c r="B195" s="63">
        <v>45120.232146654875</v>
      </c>
    </row>
    <row r="196" spans="1:2">
      <c r="A196" s="62">
        <v>0.38750000000000001</v>
      </c>
      <c r="B196" s="63">
        <v>45120.397107080076</v>
      </c>
    </row>
    <row r="197" spans="1:2">
      <c r="A197" s="62">
        <v>0.38819444444444445</v>
      </c>
      <c r="B197" s="63">
        <v>45120.560571905975</v>
      </c>
    </row>
    <row r="198" spans="1:2">
      <c r="A198" s="62">
        <v>0.3888888888888889</v>
      </c>
      <c r="B198" s="63">
        <v>45120.722527053804</v>
      </c>
    </row>
    <row r="199" spans="1:2">
      <c r="A199" s="62">
        <v>0.38958333333333334</v>
      </c>
      <c r="B199" s="63">
        <v>45120.882958598311</v>
      </c>
    </row>
    <row r="200" spans="1:2">
      <c r="A200" s="62">
        <v>0.39027777777777778</v>
      </c>
      <c r="B200" s="63">
        <v>45121.041852767783</v>
      </c>
    </row>
    <row r="201" spans="1:2">
      <c r="A201" s="62">
        <v>0.39097222222222222</v>
      </c>
      <c r="B201" s="63">
        <v>45121.199195944042</v>
      </c>
    </row>
    <row r="202" spans="1:2">
      <c r="A202" s="62">
        <v>0.39166666666666666</v>
      </c>
      <c r="B202" s="63">
        <v>45121.354974662419</v>
      </c>
    </row>
    <row r="203" spans="1:2">
      <c r="A203" s="62">
        <v>0.3923611111111111</v>
      </c>
      <c r="B203" s="63">
        <v>45121.509175611805</v>
      </c>
    </row>
    <row r="204" spans="1:2">
      <c r="A204" s="62">
        <v>0.39305555555555555</v>
      </c>
      <c r="B204" s="63">
        <v>45121.661785634584</v>
      </c>
    </row>
    <row r="205" spans="1:2">
      <c r="A205" s="62">
        <v>0.39374999999999999</v>
      </c>
      <c r="B205" s="63">
        <v>45121.812791726683</v>
      </c>
    </row>
    <row r="206" spans="1:2">
      <c r="A206" s="62">
        <v>0.39444444444444443</v>
      </c>
      <c r="B206" s="63">
        <v>45121.962181037568</v>
      </c>
    </row>
    <row r="207" spans="1:2">
      <c r="A207" s="62">
        <v>0.39513888888888887</v>
      </c>
      <c r="B207" s="63">
        <v>45122.109940870221</v>
      </c>
    </row>
    <row r="208" spans="1:2">
      <c r="A208" s="62">
        <v>0.39583333333333331</v>
      </c>
      <c r="B208" s="63">
        <v>45122.25605868116</v>
      </c>
    </row>
    <row r="209" spans="1:2">
      <c r="A209" s="62">
        <v>0.39652777777777776</v>
      </c>
      <c r="B209" s="63">
        <v>45122.400522080417</v>
      </c>
    </row>
    <row r="210" spans="1:2">
      <c r="A210" s="62">
        <v>0.3972222222222222</v>
      </c>
      <c r="B210" s="63">
        <v>45122.543318831566</v>
      </c>
    </row>
    <row r="211" spans="1:2">
      <c r="A211" s="62">
        <v>0.39791666666666664</v>
      </c>
      <c r="B211" s="63">
        <v>45122.684436851705</v>
      </c>
    </row>
    <row r="212" spans="1:2">
      <c r="A212" s="62">
        <v>0.39861111111111114</v>
      </c>
      <c r="B212" s="63">
        <v>45122.823864211467</v>
      </c>
    </row>
    <row r="213" spans="1:2">
      <c r="A213" s="62">
        <v>0.39930555555555558</v>
      </c>
      <c r="B213" s="63">
        <v>45122.961589135004</v>
      </c>
    </row>
    <row r="214" spans="1:2">
      <c r="A214" s="62">
        <v>0.4</v>
      </c>
      <c r="B214" s="63">
        <v>45123.097600000001</v>
      </c>
    </row>
    <row r="215" spans="1:2">
      <c r="A215" s="62">
        <v>0.40069444444444446</v>
      </c>
      <c r="B215" s="63">
        <v>45123.231885337664</v>
      </c>
    </row>
    <row r="216" spans="1:2">
      <c r="A216" s="62">
        <v>0.40138888888888891</v>
      </c>
      <c r="B216" s="63">
        <v>45123.364433832743</v>
      </c>
    </row>
    <row r="217" spans="1:2">
      <c r="A217" s="62">
        <v>0.40208333333333335</v>
      </c>
      <c r="B217" s="63">
        <v>45123.495234323498</v>
      </c>
    </row>
    <row r="218" spans="1:2">
      <c r="A218" s="62">
        <v>0.40277777777777779</v>
      </c>
      <c r="B218" s="63">
        <v>45123.624275801732</v>
      </c>
    </row>
    <row r="219" spans="1:2">
      <c r="A219" s="62">
        <v>0.40347222222222223</v>
      </c>
      <c r="B219" s="63">
        <v>45123.751547412772</v>
      </c>
    </row>
    <row r="220" spans="1:2">
      <c r="A220" s="62">
        <v>0.40416666666666667</v>
      </c>
      <c r="B220" s="63">
        <v>45123.877038455466</v>
      </c>
    </row>
    <row r="221" spans="1:2">
      <c r="A221" s="62">
        <v>0.40486111111111112</v>
      </c>
      <c r="B221" s="63">
        <v>45124.000738382201</v>
      </c>
    </row>
    <row r="222" spans="1:2">
      <c r="A222" s="62">
        <v>0.40555555555555556</v>
      </c>
      <c r="B222" s="63">
        <v>45124.122636798886</v>
      </c>
    </row>
    <row r="223" spans="1:2">
      <c r="A223" s="62">
        <v>0.40625</v>
      </c>
      <c r="B223" s="63">
        <v>45124.242723464966</v>
      </c>
    </row>
    <row r="224" spans="1:2">
      <c r="A224" s="62">
        <v>0.40694444444444444</v>
      </c>
      <c r="B224" s="63">
        <v>45124.360988293403</v>
      </c>
    </row>
    <row r="225" spans="1:2">
      <c r="A225" s="62">
        <v>0.40763888888888888</v>
      </c>
      <c r="B225" s="63">
        <v>45124.477421350697</v>
      </c>
    </row>
    <row r="226" spans="1:2">
      <c r="A226" s="62">
        <v>0.40833333333333333</v>
      </c>
      <c r="B226" s="63">
        <v>45124.592012856869</v>
      </c>
    </row>
    <row r="227" spans="1:2">
      <c r="A227" s="62">
        <v>0.40902777777777777</v>
      </c>
      <c r="B227" s="63">
        <v>45124.70475318547</v>
      </c>
    </row>
    <row r="228" spans="1:2">
      <c r="A228" s="62">
        <v>0.40972222222222221</v>
      </c>
      <c r="B228" s="63">
        <v>45124.815632863589</v>
      </c>
    </row>
    <row r="229" spans="1:2">
      <c r="A229" s="62">
        <v>0.41041666666666665</v>
      </c>
      <c r="B229" s="63">
        <v>45124.92464257183</v>
      </c>
    </row>
    <row r="230" spans="1:2">
      <c r="A230" s="62">
        <v>0.41111111111111109</v>
      </c>
      <c r="B230" s="63">
        <v>45125.031773144336</v>
      </c>
    </row>
    <row r="231" spans="1:2">
      <c r="A231" s="62">
        <v>0.41180555555555554</v>
      </c>
      <c r="B231" s="63">
        <v>45125.137015568769</v>
      </c>
    </row>
    <row r="232" spans="1:2">
      <c r="A232" s="62">
        <v>0.41249999999999998</v>
      </c>
      <c r="B232" s="63">
        <v>45125.240360986325</v>
      </c>
    </row>
    <row r="233" spans="1:2">
      <c r="A233" s="62">
        <v>0.41319444444444442</v>
      </c>
      <c r="B233" s="63">
        <v>45125.341800691735</v>
      </c>
    </row>
    <row r="234" spans="1:2">
      <c r="A234" s="62">
        <v>0.41388888888888886</v>
      </c>
      <c r="B234" s="63">
        <v>45125.441326133237</v>
      </c>
    </row>
    <row r="235" spans="1:2">
      <c r="A235" s="62">
        <v>0.41458333333333336</v>
      </c>
      <c r="B235" s="63">
        <v>45125.538928912618</v>
      </c>
    </row>
    <row r="236" spans="1:2">
      <c r="A236" s="62">
        <v>0.4152777777777778</v>
      </c>
      <c r="B236" s="63">
        <v>45125.63460078519</v>
      </c>
    </row>
    <row r="237" spans="1:2">
      <c r="A237" s="62">
        <v>0.41597222222222224</v>
      </c>
      <c r="B237" s="63">
        <v>45125.728333659783</v>
      </c>
    </row>
    <row r="238" spans="1:2">
      <c r="A238" s="62">
        <v>0.41666666666666669</v>
      </c>
      <c r="B238" s="63">
        <v>45125.820119598764</v>
      </c>
    </row>
    <row r="239" spans="1:2">
      <c r="A239" s="62">
        <v>0.41736111111111113</v>
      </c>
      <c r="B239" s="63">
        <v>45125.90995081803</v>
      </c>
    </row>
    <row r="240" spans="1:2">
      <c r="A240" s="62">
        <v>0.41805555555555557</v>
      </c>
      <c r="B240" s="63">
        <v>45125.997819687007</v>
      </c>
    </row>
    <row r="241" spans="1:2">
      <c r="A241" s="62">
        <v>0.41875000000000001</v>
      </c>
      <c r="B241" s="63">
        <v>45126.083718728638</v>
      </c>
    </row>
    <row r="242" spans="1:2">
      <c r="A242" s="62">
        <v>0.41944444444444445</v>
      </c>
      <c r="B242" s="63">
        <v>45126.167640619402</v>
      </c>
    </row>
    <row r="243" spans="1:2">
      <c r="A243" s="62">
        <v>0.4201388888888889</v>
      </c>
      <c r="B243" s="63">
        <v>45126.249578189309</v>
      </c>
    </row>
    <row r="244" spans="1:2">
      <c r="A244" s="62">
        <v>0.42083333333333334</v>
      </c>
      <c r="B244" s="63">
        <v>45126.329524421897</v>
      </c>
    </row>
    <row r="245" spans="1:2">
      <c r="A245" s="62">
        <v>0.42152777777777778</v>
      </c>
      <c r="B245" s="63">
        <v>45126.40747245423</v>
      </c>
    </row>
    <row r="246" spans="1:2">
      <c r="A246" s="62">
        <v>0.42222222222222222</v>
      </c>
      <c r="B246" s="63">
        <v>45126.483415576891</v>
      </c>
    </row>
    <row r="247" spans="1:2">
      <c r="A247" s="62">
        <v>0.42291666666666666</v>
      </c>
      <c r="B247" s="63">
        <v>45126.557347234011</v>
      </c>
    </row>
    <row r="248" spans="1:2">
      <c r="A248" s="62">
        <v>0.4236111111111111</v>
      </c>
      <c r="B248" s="63">
        <v>45126.629261023241</v>
      </c>
    </row>
    <row r="249" spans="1:2">
      <c r="A249" s="62">
        <v>0.42430555555555555</v>
      </c>
      <c r="B249" s="63">
        <v>45126.699150695749</v>
      </c>
    </row>
    <row r="250" spans="1:2">
      <c r="A250" s="62">
        <v>0.42499999999999999</v>
      </c>
      <c r="B250" s="63">
        <v>45126.767010156247</v>
      </c>
    </row>
    <row r="251" spans="1:2">
      <c r="A251" s="62">
        <v>0.42569444444444443</v>
      </c>
      <c r="B251" s="63">
        <v>45126.832833462977</v>
      </c>
    </row>
    <row r="252" spans="1:2">
      <c r="A252" s="62">
        <v>0.42638888888888887</v>
      </c>
      <c r="B252" s="63">
        <v>45126.896614827681</v>
      </c>
    </row>
    <row r="253" spans="1:2">
      <c r="A253" s="62">
        <v>0.42708333333333331</v>
      </c>
      <c r="B253" s="63">
        <v>45126.95834861567</v>
      </c>
    </row>
    <row r="254" spans="1:2">
      <c r="A254" s="62">
        <v>0.42777777777777776</v>
      </c>
      <c r="B254" s="63">
        <v>45127.018029345752</v>
      </c>
    </row>
    <row r="255" spans="1:2">
      <c r="A255" s="62">
        <v>0.4284722222222222</v>
      </c>
      <c r="B255" s="63">
        <v>45127.075651690284</v>
      </c>
    </row>
    <row r="256" spans="1:2">
      <c r="A256" s="62">
        <v>0.42916666666666664</v>
      </c>
      <c r="B256" s="63">
        <v>45127.131210475141</v>
      </c>
    </row>
    <row r="257" spans="1:2">
      <c r="A257" s="62">
        <v>0.42986111111111114</v>
      </c>
      <c r="B257" s="63">
        <v>45127.184700679718</v>
      </c>
    </row>
    <row r="258" spans="1:2">
      <c r="A258" s="62">
        <v>0.43055555555555558</v>
      </c>
      <c r="B258" s="63">
        <v>45127.236117436965</v>
      </c>
    </row>
    <row r="259" spans="1:2">
      <c r="A259" s="62">
        <v>0.43125000000000002</v>
      </c>
      <c r="B259" s="63">
        <v>45127.285456033322</v>
      </c>
    </row>
    <row r="260" spans="1:2">
      <c r="A260" s="62">
        <v>0.43194444444444446</v>
      </c>
      <c r="B260" s="63">
        <v>45127.332711908799</v>
      </c>
    </row>
    <row r="261" spans="1:2">
      <c r="A261" s="62">
        <v>0.43263888888888891</v>
      </c>
      <c r="B261" s="63">
        <v>45127.37788065691</v>
      </c>
    </row>
    <row r="262" spans="1:2">
      <c r="A262" s="62">
        <v>0.43333333333333335</v>
      </c>
      <c r="B262" s="63">
        <v>45127.42095802469</v>
      </c>
    </row>
    <row r="263" spans="1:2">
      <c r="A263" s="62">
        <v>0.43402777777777779</v>
      </c>
      <c r="B263" s="63">
        <v>45127.461939912726</v>
      </c>
    </row>
    <row r="264" spans="1:2">
      <c r="A264" s="62">
        <v>0.43472222222222223</v>
      </c>
      <c r="B264" s="63">
        <v>45127.500822375121</v>
      </c>
    </row>
    <row r="265" spans="1:2">
      <c r="A265" s="62">
        <v>0.43541666666666667</v>
      </c>
      <c r="B265" s="63">
        <v>45127.5376016195</v>
      </c>
    </row>
    <row r="266" spans="1:2">
      <c r="A266" s="62">
        <v>0.43611111111111112</v>
      </c>
      <c r="B266" s="63">
        <v>45127.572274007034</v>
      </c>
    </row>
    <row r="267" spans="1:2">
      <c r="A267" s="62">
        <v>0.43680555555555556</v>
      </c>
      <c r="B267" s="63">
        <v>45127.6048360524</v>
      </c>
    </row>
    <row r="268" spans="1:2">
      <c r="A268" s="62">
        <v>0.4375</v>
      </c>
      <c r="B268" s="63">
        <v>45127.635284423828</v>
      </c>
    </row>
    <row r="269" spans="1:2">
      <c r="A269" s="62">
        <v>0.43819444444444444</v>
      </c>
      <c r="B269" s="63">
        <v>45127.663615943056</v>
      </c>
    </row>
    <row r="270" spans="1:2">
      <c r="A270" s="62">
        <v>0.43888888888888888</v>
      </c>
      <c r="B270" s="63">
        <v>45127.689827585353</v>
      </c>
    </row>
    <row r="271" spans="1:2">
      <c r="A271" s="62">
        <v>0.43958333333333333</v>
      </c>
      <c r="B271" s="63">
        <v>45127.71391647953</v>
      </c>
    </row>
    <row r="272" spans="1:2">
      <c r="A272" s="62">
        <v>0.44027777777777777</v>
      </c>
      <c r="B272" s="63">
        <v>45127.735879907916</v>
      </c>
    </row>
    <row r="273" spans="1:2">
      <c r="A273" s="62">
        <v>0.44097222222222221</v>
      </c>
      <c r="B273" s="63">
        <v>45127.755715306368</v>
      </c>
    </row>
    <row r="274" spans="1:2">
      <c r="A274" s="62">
        <v>0.44166666666666665</v>
      </c>
      <c r="B274" s="63">
        <v>45127.773420264275</v>
      </c>
    </row>
    <row r="275" spans="1:2">
      <c r="A275" s="62">
        <v>0.44236111111111109</v>
      </c>
      <c r="B275" s="63">
        <v>45127.788992524554</v>
      </c>
    </row>
    <row r="276" spans="1:2">
      <c r="A276" s="62">
        <v>0.44305555555555554</v>
      </c>
      <c r="B276" s="63">
        <v>45127.802429983647</v>
      </c>
    </row>
    <row r="277" spans="1:2">
      <c r="A277" s="62">
        <v>0.44374999999999998</v>
      </c>
      <c r="B277" s="63">
        <v>45127.813730691531</v>
      </c>
    </row>
    <row r="278" spans="1:2">
      <c r="A278" s="62">
        <v>0.44444444444444442</v>
      </c>
      <c r="B278" s="63">
        <v>45127.822892851698</v>
      </c>
    </row>
    <row r="279" spans="1:2">
      <c r="A279" s="62">
        <v>0.44513888888888886</v>
      </c>
      <c r="B279" s="63">
        <v>45127.829914821188</v>
      </c>
    </row>
    <row r="280" spans="1:2">
      <c r="A280" s="62">
        <v>0.44583333333333336</v>
      </c>
      <c r="B280" s="63">
        <v>45127.834795110553</v>
      </c>
    </row>
    <row r="281" spans="1:2">
      <c r="A281" s="62">
        <v>0.4465277777777778</v>
      </c>
      <c r="B281" s="63">
        <v>45127.837532383885</v>
      </c>
    </row>
    <row r="282" spans="1:2">
      <c r="A282" s="62">
        <v>0.44722222222222224</v>
      </c>
      <c r="B282" s="63">
        <v>45127.838125458795</v>
      </c>
    </row>
    <row r="283" spans="1:2">
      <c r="A283" s="62">
        <v>0.44791666666666669</v>
      </c>
      <c r="B283" s="63">
        <v>45127.836573306427</v>
      </c>
    </row>
    <row r="284" spans="1:2">
      <c r="A284" s="62">
        <v>0.44861111111111113</v>
      </c>
      <c r="B284" s="63">
        <v>45127.832875051448</v>
      </c>
    </row>
    <row r="285" spans="1:2">
      <c r="A285" s="62">
        <v>0.44930555555555557</v>
      </c>
      <c r="B285" s="63">
        <v>45127.827029972061</v>
      </c>
    </row>
    <row r="286" spans="1:2">
      <c r="A286" s="62">
        <v>0.45</v>
      </c>
      <c r="B286" s="63">
        <v>45127.819037499998</v>
      </c>
    </row>
    <row r="287" spans="1:2">
      <c r="A287" s="62">
        <v>0.45069444444444445</v>
      </c>
      <c r="B287" s="63">
        <v>45127.808897220515</v>
      </c>
    </row>
    <row r="288" spans="1:2">
      <c r="A288" s="62">
        <v>0.4513888888888889</v>
      </c>
      <c r="B288" s="63">
        <v>45127.796608872392</v>
      </c>
    </row>
    <row r="289" spans="1:2">
      <c r="A289" s="62">
        <v>0.45208333333333334</v>
      </c>
      <c r="B289" s="63">
        <v>45127.78217234795</v>
      </c>
    </row>
    <row r="290" spans="1:2">
      <c r="A290" s="62">
        <v>0.45277777777777778</v>
      </c>
      <c r="B290" s="63">
        <v>45127.765587693022</v>
      </c>
    </row>
    <row r="291" spans="1:2">
      <c r="A291" s="62">
        <v>0.45347222222222222</v>
      </c>
      <c r="B291" s="63">
        <v>45127.746855106983</v>
      </c>
    </row>
    <row r="292" spans="1:2">
      <c r="A292" s="62">
        <v>0.45416666666666666</v>
      </c>
      <c r="B292" s="63">
        <v>45127.725974942732</v>
      </c>
    </row>
    <row r="293" spans="1:2">
      <c r="A293" s="62">
        <v>0.4548611111111111</v>
      </c>
      <c r="B293" s="63">
        <v>45127.702947706697</v>
      </c>
    </row>
    <row r="294" spans="1:2">
      <c r="A294" s="62">
        <v>0.45555555555555555</v>
      </c>
      <c r="B294" s="63">
        <v>45127.677774058837</v>
      </c>
    </row>
    <row r="295" spans="1:2">
      <c r="A295" s="62">
        <v>0.45624999999999999</v>
      </c>
      <c r="B295" s="63">
        <v>45127.650454812625</v>
      </c>
    </row>
    <row r="296" spans="1:2">
      <c r="A296" s="62">
        <v>0.45694444444444443</v>
      </c>
      <c r="B296" s="63">
        <v>45127.62099093508</v>
      </c>
    </row>
    <row r="297" spans="1:2">
      <c r="A297" s="62">
        <v>0.45763888888888887</v>
      </c>
      <c r="B297" s="63">
        <v>45127.589383546743</v>
      </c>
    </row>
    <row r="298" spans="1:2">
      <c r="A298" s="62">
        <v>0.45833333333333331</v>
      </c>
      <c r="B298" s="63">
        <v>45127.555633921686</v>
      </c>
    </row>
    <row r="299" spans="1:2">
      <c r="A299" s="62">
        <v>0.45902777777777776</v>
      </c>
      <c r="B299" s="63">
        <v>45127.519743487494</v>
      </c>
    </row>
    <row r="300" spans="1:2">
      <c r="A300" s="62">
        <v>0.4597222222222222</v>
      </c>
      <c r="B300" s="63">
        <v>45127.481713825313</v>
      </c>
    </row>
    <row r="301" spans="1:2">
      <c r="A301" s="62">
        <v>0.46041666666666664</v>
      </c>
      <c r="B301" s="63">
        <v>45127.441546669776</v>
      </c>
    </row>
    <row r="302" spans="1:2">
      <c r="A302" s="62">
        <v>0.46111111111111114</v>
      </c>
      <c r="B302" s="63">
        <v>45127.399243909087</v>
      </c>
    </row>
    <row r="303" spans="1:2">
      <c r="A303" s="62">
        <v>0.46180555555555558</v>
      </c>
      <c r="B303" s="63">
        <v>45127.354807584939</v>
      </c>
    </row>
    <row r="304" spans="1:2">
      <c r="A304" s="62">
        <v>0.46250000000000002</v>
      </c>
      <c r="B304" s="63">
        <v>45127.308239892576</v>
      </c>
    </row>
    <row r="305" spans="1:2">
      <c r="A305" s="62">
        <v>0.46319444444444446</v>
      </c>
      <c r="B305" s="63">
        <v>45127.259543180771</v>
      </c>
    </row>
    <row r="306" spans="1:2">
      <c r="A306" s="62">
        <v>0.46388888888888891</v>
      </c>
      <c r="B306" s="63">
        <v>45127.208719951821</v>
      </c>
    </row>
    <row r="307" spans="1:2">
      <c r="A307" s="62">
        <v>0.46458333333333335</v>
      </c>
      <c r="B307" s="63">
        <v>45127.155772861544</v>
      </c>
    </row>
    <row r="308" spans="1:2">
      <c r="A308" s="62">
        <v>0.46527777777777779</v>
      </c>
      <c r="B308" s="63">
        <v>45127.100704719298</v>
      </c>
    </row>
    <row r="309" spans="1:2">
      <c r="A309" s="62">
        <v>0.46597222222222223</v>
      </c>
      <c r="B309" s="63">
        <v>45127.043518487968</v>
      </c>
    </row>
    <row r="310" spans="1:2">
      <c r="A310" s="62">
        <v>0.46666666666666667</v>
      </c>
      <c r="B310" s="63">
        <v>45126.984217283949</v>
      </c>
    </row>
    <row r="311" spans="1:2">
      <c r="A311" s="62">
        <v>0.46736111111111112</v>
      </c>
      <c r="B311" s="63">
        <v>45126.922804377195</v>
      </c>
    </row>
    <row r="312" spans="1:2">
      <c r="A312" s="62">
        <v>0.46805555555555556</v>
      </c>
      <c r="B312" s="63">
        <v>45126.859283191166</v>
      </c>
    </row>
    <row r="313" spans="1:2">
      <c r="A313" s="62">
        <v>0.46875</v>
      </c>
      <c r="B313" s="63">
        <v>45126.793657302856</v>
      </c>
    </row>
    <row r="314" spans="1:2">
      <c r="A314" s="62">
        <v>0.46944444444444444</v>
      </c>
      <c r="B314" s="63">
        <v>45126.725930442793</v>
      </c>
    </row>
    <row r="315" spans="1:2">
      <c r="A315" s="62">
        <v>0.47013888888888888</v>
      </c>
      <c r="B315" s="63">
        <v>45126.656106495022</v>
      </c>
    </row>
    <row r="316" spans="1:2">
      <c r="A316" s="62">
        <v>0.47083333333333333</v>
      </c>
      <c r="B316" s="63">
        <v>45126.584189497131</v>
      </c>
    </row>
    <row r="317" spans="1:2">
      <c r="A317" s="62">
        <v>0.47152777777777777</v>
      </c>
      <c r="B317" s="63">
        <v>45126.510183640225</v>
      </c>
    </row>
    <row r="318" spans="1:2">
      <c r="A318" s="62">
        <v>0.47222222222222221</v>
      </c>
      <c r="B318" s="63">
        <v>45126.434093268937</v>
      </c>
    </row>
    <row r="319" spans="1:2">
      <c r="A319" s="62">
        <v>0.47291666666666665</v>
      </c>
      <c r="B319" s="63">
        <v>45126.355922881441</v>
      </c>
    </row>
    <row r="320" spans="1:2">
      <c r="A320" s="62">
        <v>0.47361111111111109</v>
      </c>
      <c r="B320" s="63">
        <v>45126.275677129423</v>
      </c>
    </row>
    <row r="321" spans="1:2">
      <c r="A321" s="62">
        <v>0.47430555555555554</v>
      </c>
      <c r="B321" s="63">
        <v>45126.193360818113</v>
      </c>
    </row>
    <row r="322" spans="1:2">
      <c r="A322" s="62">
        <v>0.47499999999999998</v>
      </c>
      <c r="B322" s="63">
        <v>45126.108978906253</v>
      </c>
    </row>
    <row r="323" spans="1:2">
      <c r="A323" s="62">
        <v>0.47569444444444442</v>
      </c>
      <c r="B323" s="63">
        <v>45126.022536506127</v>
      </c>
    </row>
    <row r="324" spans="1:2">
      <c r="A324" s="62">
        <v>0.47638888888888886</v>
      </c>
      <c r="B324" s="63">
        <v>45125.934038883541</v>
      </c>
    </row>
    <row r="325" spans="1:2">
      <c r="A325" s="62">
        <v>0.47708333333333336</v>
      </c>
      <c r="B325" s="63">
        <v>45125.843491457825</v>
      </c>
    </row>
    <row r="326" spans="1:2">
      <c r="A326" s="62">
        <v>0.4777777777777778</v>
      </c>
      <c r="B326" s="63">
        <v>45125.75089980186</v>
      </c>
    </row>
    <row r="327" spans="1:2">
      <c r="A327" s="62">
        <v>0.47847222222222224</v>
      </c>
      <c r="B327" s="63">
        <v>45125.656269642022</v>
      </c>
    </row>
    <row r="328" spans="1:2">
      <c r="A328" s="62">
        <v>0.47916666666666669</v>
      </c>
      <c r="B328" s="63">
        <v>45125.559606858238</v>
      </c>
    </row>
    <row r="329" spans="1:2">
      <c r="A329" s="62">
        <v>0.47986111111111113</v>
      </c>
      <c r="B329" s="63">
        <v>45125.460917483964</v>
      </c>
    </row>
    <row r="330" spans="1:2">
      <c r="A330" s="62">
        <v>0.48055555555555557</v>
      </c>
      <c r="B330" s="63">
        <v>45125.360207706166</v>
      </c>
    </row>
    <row r="331" spans="1:2">
      <c r="A331" s="62">
        <v>0.48125000000000001</v>
      </c>
      <c r="B331" s="63">
        <v>45125.25748386536</v>
      </c>
    </row>
    <row r="332" spans="1:2">
      <c r="A332" s="62">
        <v>0.48194444444444445</v>
      </c>
      <c r="B332" s="63">
        <v>45125.152752455571</v>
      </c>
    </row>
    <row r="333" spans="1:2">
      <c r="A333" s="62">
        <v>0.4826388888888889</v>
      </c>
      <c r="B333" s="63">
        <v>45125.046020124362</v>
      </c>
    </row>
    <row r="334" spans="1:2">
      <c r="A334" s="62">
        <v>0.48333333333333334</v>
      </c>
      <c r="B334" s="63">
        <v>45124.93729367284</v>
      </c>
    </row>
    <row r="335" spans="1:2">
      <c r="A335" s="62">
        <v>0.48402777777777778</v>
      </c>
      <c r="B335" s="63">
        <v>45124.826580055611</v>
      </c>
    </row>
    <row r="336" spans="1:2">
      <c r="A336" s="62">
        <v>0.48472222222222222</v>
      </c>
      <c r="B336" s="63">
        <v>45124.713886380821</v>
      </c>
    </row>
    <row r="337" spans="1:2">
      <c r="A337" s="62">
        <v>0.48541666666666666</v>
      </c>
      <c r="B337" s="63">
        <v>45124.59921991016</v>
      </c>
    </row>
    <row r="338" spans="1:2">
      <c r="A338" s="62">
        <v>0.4861111111111111</v>
      </c>
      <c r="B338" s="63">
        <v>45124.482588058818</v>
      </c>
    </row>
    <row r="339" spans="1:2">
      <c r="A339" s="62">
        <v>0.48680555555555555</v>
      </c>
      <c r="B339" s="63">
        <v>45124.363998395536</v>
      </c>
    </row>
    <row r="340" spans="1:2">
      <c r="A340" s="62">
        <v>0.48749999999999999</v>
      </c>
      <c r="B340" s="63">
        <v>45124.243458642581</v>
      </c>
    </row>
    <row r="341" spans="1:2">
      <c r="A341" s="62">
        <v>0.48819444444444443</v>
      </c>
      <c r="B341" s="63">
        <v>45124.120976675731</v>
      </c>
    </row>
    <row r="342" spans="1:2">
      <c r="A342" s="62">
        <v>0.48888888888888887</v>
      </c>
      <c r="B342" s="63">
        <v>45123.996560524312</v>
      </c>
    </row>
    <row r="343" spans="1:2">
      <c r="A343" s="62">
        <v>0.48958333333333331</v>
      </c>
      <c r="B343" s="63">
        <v>45123.870218371165</v>
      </c>
    </row>
    <row r="344" spans="1:2">
      <c r="A344" s="62">
        <v>0.49027777777777776</v>
      </c>
      <c r="B344" s="63">
        <v>45123.741958552673</v>
      </c>
    </row>
    <row r="345" spans="1:2">
      <c r="A345" s="62">
        <v>0.4909722222222222</v>
      </c>
      <c r="B345" s="63">
        <v>45123.611789558738</v>
      </c>
    </row>
    <row r="346" spans="1:2">
      <c r="A346" s="62">
        <v>0.49166666666666664</v>
      </c>
      <c r="B346" s="63">
        <v>45123.479720032796</v>
      </c>
    </row>
    <row r="347" spans="1:2">
      <c r="A347" s="62">
        <v>0.49236111111111114</v>
      </c>
      <c r="B347" s="63">
        <v>45123.345758771793</v>
      </c>
    </row>
    <row r="348" spans="1:2">
      <c r="A348" s="62">
        <v>0.49305555555555558</v>
      </c>
      <c r="B348" s="63">
        <v>45123.209914726234</v>
      </c>
    </row>
    <row r="349" spans="1:2">
      <c r="A349" s="62">
        <v>0.49375000000000002</v>
      </c>
      <c r="B349" s="63">
        <v>45123.072197000125</v>
      </c>
    </row>
    <row r="350" spans="1:2">
      <c r="A350" s="62">
        <v>0.49444444444444446</v>
      </c>
      <c r="B350" s="63">
        <v>45122.932614851015</v>
      </c>
    </row>
    <row r="351" spans="1:2">
      <c r="A351" s="62">
        <v>0.49513888888888891</v>
      </c>
      <c r="B351" s="63">
        <v>45122.791177689978</v>
      </c>
    </row>
    <row r="352" spans="1:2">
      <c r="A352" s="62">
        <v>0.49583333333333335</v>
      </c>
      <c r="B352" s="63">
        <v>45122.647895081624</v>
      </c>
    </row>
    <row r="353" spans="1:2">
      <c r="A353" s="62">
        <v>0.49652777777777779</v>
      </c>
      <c r="B353" s="63">
        <v>45122.50277674407</v>
      </c>
    </row>
    <row r="354" spans="1:2">
      <c r="A354" s="62">
        <v>0.49722222222222223</v>
      </c>
      <c r="B354" s="63">
        <v>45122.355832548987</v>
      </c>
    </row>
    <row r="355" spans="1:2">
      <c r="A355" s="62">
        <v>0.49791666666666667</v>
      </c>
      <c r="B355" s="63">
        <v>45122.20707252156</v>
      </c>
    </row>
    <row r="356" spans="1:2">
      <c r="A356" s="62">
        <v>0.49861111111111112</v>
      </c>
      <c r="B356" s="63">
        <v>45122.056506840498</v>
      </c>
    </row>
    <row r="357" spans="1:2">
      <c r="A357" s="62">
        <v>0.49930555555555556</v>
      </c>
      <c r="B357" s="63">
        <v>45121.904145838053</v>
      </c>
    </row>
    <row r="358" spans="1:2">
      <c r="A358" s="62">
        <v>0.5</v>
      </c>
      <c r="B358" s="63">
        <v>45121.75</v>
      </c>
    </row>
    <row r="359" spans="1:2">
      <c r="A359" s="62">
        <v>0.50069444444444444</v>
      </c>
      <c r="B359" s="63">
        <v>45121.594079965631</v>
      </c>
    </row>
    <row r="360" spans="1:2">
      <c r="A360" s="62">
        <v>0.50138888888888888</v>
      </c>
      <c r="B360" s="63">
        <v>45121.436396527788</v>
      </c>
    </row>
    <row r="361" spans="1:2">
      <c r="A361" s="62">
        <v>0.50208333333333333</v>
      </c>
      <c r="B361" s="63">
        <v>45121.276960632815</v>
      </c>
    </row>
    <row r="362" spans="1:2">
      <c r="A362" s="62">
        <v>0.50277777777777777</v>
      </c>
      <c r="B362" s="63">
        <v>45121.115783380606</v>
      </c>
    </row>
    <row r="363" spans="1:2">
      <c r="A363" s="62">
        <v>0.50347222222222221</v>
      </c>
      <c r="B363" s="63">
        <v>45120.952876024574</v>
      </c>
    </row>
    <row r="364" spans="1:2">
      <c r="A364" s="62">
        <v>0.50416666666666665</v>
      </c>
      <c r="B364" s="63">
        <v>45120.788249971665</v>
      </c>
    </row>
    <row r="365" spans="1:2">
      <c r="A365" s="62">
        <v>0.50486111111111109</v>
      </c>
      <c r="B365" s="63">
        <v>45120.621916782351</v>
      </c>
    </row>
    <row r="366" spans="1:2">
      <c r="A366" s="62">
        <v>0.50555555555555554</v>
      </c>
      <c r="B366" s="63">
        <v>45120.453888170632</v>
      </c>
    </row>
    <row r="367" spans="1:2">
      <c r="A367" s="62">
        <v>0.50624999999999998</v>
      </c>
      <c r="B367" s="63">
        <v>45120.284176004032</v>
      </c>
    </row>
    <row r="368" spans="1:2">
      <c r="A368" s="62">
        <v>0.50694444444444442</v>
      </c>
      <c r="B368" s="63">
        <v>45120.112792303604</v>
      </c>
    </row>
    <row r="369" spans="1:2">
      <c r="A369" s="62">
        <v>0.50763888888888886</v>
      </c>
      <c r="B369" s="63">
        <v>45119.939749243946</v>
      </c>
    </row>
    <row r="370" spans="1:2">
      <c r="A370" s="62">
        <v>0.5083333333333333</v>
      </c>
      <c r="B370" s="63">
        <v>45119.765059153164</v>
      </c>
    </row>
    <row r="371" spans="1:2">
      <c r="A371" s="62">
        <v>0.50902777777777775</v>
      </c>
      <c r="B371" s="63">
        <v>45119.588734512901</v>
      </c>
    </row>
    <row r="372" spans="1:2">
      <c r="A372" s="62">
        <v>0.50972222222222219</v>
      </c>
      <c r="B372" s="63">
        <v>45119.410787958324</v>
      </c>
    </row>
    <row r="373" spans="1:2">
      <c r="A373" s="62">
        <v>0.51041666666666663</v>
      </c>
      <c r="B373" s="63">
        <v>45119.231232278144</v>
      </c>
    </row>
    <row r="374" spans="1:2">
      <c r="A374" s="62">
        <v>0.51111111111111107</v>
      </c>
      <c r="B374" s="63">
        <v>45119.05008041457</v>
      </c>
    </row>
    <row r="375" spans="1:2">
      <c r="A375" s="62">
        <v>0.51180555555555551</v>
      </c>
      <c r="B375" s="63">
        <v>45118.867345463375</v>
      </c>
    </row>
    <row r="376" spans="1:2">
      <c r="A376" s="62">
        <v>0.51249999999999996</v>
      </c>
      <c r="B376" s="63">
        <v>45118.68304067383</v>
      </c>
    </row>
    <row r="377" spans="1:2">
      <c r="A377" s="62">
        <v>0.5131944444444444</v>
      </c>
      <c r="B377" s="63">
        <v>45118.49717944875</v>
      </c>
    </row>
    <row r="378" spans="1:2">
      <c r="A378" s="62">
        <v>0.51388888888888884</v>
      </c>
      <c r="B378" s="63">
        <v>45118.309775344482</v>
      </c>
    </row>
    <row r="379" spans="1:2">
      <c r="A379" s="62">
        <v>0.51458333333333328</v>
      </c>
      <c r="B379" s="63">
        <v>45118.120842070894</v>
      </c>
    </row>
    <row r="380" spans="1:2">
      <c r="A380" s="62">
        <v>0.51527777777777772</v>
      </c>
      <c r="B380" s="63">
        <v>45117.930393491377</v>
      </c>
    </row>
    <row r="381" spans="1:2">
      <c r="A381" s="62">
        <v>0.51597222222222228</v>
      </c>
      <c r="B381" s="63">
        <v>45117.73844362286</v>
      </c>
    </row>
    <row r="382" spans="1:2">
      <c r="A382" s="62">
        <v>0.51666666666666672</v>
      </c>
      <c r="B382" s="63">
        <v>45117.545006635803</v>
      </c>
    </row>
    <row r="383" spans="1:2">
      <c r="A383" s="62">
        <v>0.51736111111111116</v>
      </c>
      <c r="B383" s="63">
        <v>45117.350096854178</v>
      </c>
    </row>
    <row r="384" spans="1:2">
      <c r="A384" s="62">
        <v>0.5180555555555556</v>
      </c>
      <c r="B384" s="63">
        <v>45117.153728755511</v>
      </c>
    </row>
    <row r="385" spans="1:2">
      <c r="A385" s="62">
        <v>0.51875000000000004</v>
      </c>
      <c r="B385" s="63">
        <v>45116.955916970823</v>
      </c>
    </row>
    <row r="386" spans="1:2">
      <c r="A386" s="62">
        <v>0.51944444444444449</v>
      </c>
      <c r="B386" s="63">
        <v>45116.756676284698</v>
      </c>
    </row>
    <row r="387" spans="1:2">
      <c r="A387" s="62">
        <v>0.52013888888888893</v>
      </c>
      <c r="B387" s="63">
        <v>45116.556021635224</v>
      </c>
    </row>
    <row r="388" spans="1:2">
      <c r="A388" s="62">
        <v>0.52083333333333337</v>
      </c>
      <c r="B388" s="63">
        <v>45116.353968114032</v>
      </c>
    </row>
    <row r="389" spans="1:2">
      <c r="A389" s="62">
        <v>0.52152777777777781</v>
      </c>
      <c r="B389" s="63">
        <v>45116.150530966261</v>
      </c>
    </row>
    <row r="390" spans="1:2">
      <c r="A390" s="62">
        <v>0.52222222222222225</v>
      </c>
      <c r="B390" s="63">
        <v>45115.945725590609</v>
      </c>
    </row>
    <row r="391" spans="1:2">
      <c r="A391" s="62">
        <v>0.5229166666666667</v>
      </c>
      <c r="B391" s="63">
        <v>45115.739567539284</v>
      </c>
    </row>
    <row r="392" spans="1:2">
      <c r="A392" s="62">
        <v>0.52361111111111114</v>
      </c>
      <c r="B392" s="63">
        <v>45115.532072518014</v>
      </c>
    </row>
    <row r="393" spans="1:2">
      <c r="A393" s="62">
        <v>0.52430555555555558</v>
      </c>
      <c r="B393" s="63">
        <v>45115.323256386073</v>
      </c>
    </row>
    <row r="394" spans="1:2">
      <c r="A394" s="62">
        <v>0.52500000000000002</v>
      </c>
      <c r="B394" s="63">
        <v>45115.113135156251</v>
      </c>
    </row>
    <row r="395" spans="1:2">
      <c r="A395" s="62">
        <v>0.52569444444444446</v>
      </c>
      <c r="B395" s="63">
        <v>45114.901724994874</v>
      </c>
    </row>
    <row r="396" spans="1:2">
      <c r="A396" s="62">
        <v>0.52638888888888891</v>
      </c>
      <c r="B396" s="63">
        <v>45114.689042221798</v>
      </c>
    </row>
    <row r="397" spans="1:2">
      <c r="A397" s="62">
        <v>0.52708333333333335</v>
      </c>
      <c r="B397" s="63">
        <v>45114.475103310404</v>
      </c>
    </row>
    <row r="398" spans="1:2">
      <c r="A398" s="62">
        <v>0.52777777777777779</v>
      </c>
      <c r="B398" s="63">
        <v>45114.259924887592</v>
      </c>
    </row>
    <row r="399" spans="1:2">
      <c r="A399" s="62">
        <v>0.52847222222222223</v>
      </c>
      <c r="B399" s="63">
        <v>45114.04352373381</v>
      </c>
    </row>
    <row r="400" spans="1:2">
      <c r="A400" s="62">
        <v>0.52916666666666667</v>
      </c>
      <c r="B400" s="63">
        <v>45113.825916783011</v>
      </c>
    </row>
    <row r="401" spans="1:2">
      <c r="A401" s="62">
        <v>0.52986111111111112</v>
      </c>
      <c r="B401" s="63">
        <v>45113.607121122695</v>
      </c>
    </row>
    <row r="402" spans="1:2">
      <c r="A402" s="62">
        <v>0.53055555555555556</v>
      </c>
      <c r="B402" s="63">
        <v>45113.387153993892</v>
      </c>
    </row>
    <row r="403" spans="1:2">
      <c r="A403" s="62">
        <v>0.53125</v>
      </c>
      <c r="B403" s="63">
        <v>45113.166032791138</v>
      </c>
    </row>
    <row r="404" spans="1:2">
      <c r="A404" s="62">
        <v>0.53194444444444444</v>
      </c>
      <c r="B404" s="63">
        <v>45112.943775062522</v>
      </c>
    </row>
    <row r="405" spans="1:2">
      <c r="A405" s="62">
        <v>0.53263888888888888</v>
      </c>
      <c r="B405" s="63">
        <v>45112.720398509649</v>
      </c>
    </row>
    <row r="406" spans="1:2">
      <c r="A406" s="62">
        <v>0.53333333333333333</v>
      </c>
      <c r="B406" s="63">
        <v>45112.495920987654</v>
      </c>
    </row>
    <row r="407" spans="1:2">
      <c r="A407" s="62">
        <v>0.53402777777777777</v>
      </c>
      <c r="B407" s="63">
        <v>45112.270360505201</v>
      </c>
    </row>
    <row r="408" spans="1:2">
      <c r="A408" s="62">
        <v>0.53472222222222221</v>
      </c>
      <c r="B408" s="63">
        <v>45112.043735224492</v>
      </c>
    </row>
    <row r="409" spans="1:2">
      <c r="A409" s="62">
        <v>0.53541666666666665</v>
      </c>
      <c r="B409" s="63">
        <v>45111.816063461229</v>
      </c>
    </row>
    <row r="410" spans="1:2">
      <c r="A410" s="62">
        <v>0.53611111111111109</v>
      </c>
      <c r="B410" s="63">
        <v>45111.587363684674</v>
      </c>
    </row>
    <row r="411" spans="1:2">
      <c r="A411" s="62">
        <v>0.53680555555555554</v>
      </c>
      <c r="B411" s="63">
        <v>45111.357654517604</v>
      </c>
    </row>
    <row r="412" spans="1:2">
      <c r="A412" s="62">
        <v>0.53749999999999998</v>
      </c>
      <c r="B412" s="63">
        <v>45111.126954736326</v>
      </c>
    </row>
    <row r="413" spans="1:2">
      <c r="A413" s="62">
        <v>0.53819444444444442</v>
      </c>
      <c r="B413" s="63">
        <v>45110.895283270671</v>
      </c>
    </row>
    <row r="414" spans="1:2">
      <c r="A414" s="62">
        <v>0.53888888888888886</v>
      </c>
      <c r="B414" s="63">
        <v>45110.662659204005</v>
      </c>
    </row>
    <row r="415" spans="1:2">
      <c r="A415" s="62">
        <v>0.5395833333333333</v>
      </c>
      <c r="B415" s="63">
        <v>45110.429101773218</v>
      </c>
    </row>
    <row r="416" spans="1:2">
      <c r="A416" s="62">
        <v>0.54027777777777775</v>
      </c>
      <c r="B416" s="63">
        <v>45110.194630368736</v>
      </c>
    </row>
    <row r="417" spans="1:2">
      <c r="A417" s="62">
        <v>0.54097222222222219</v>
      </c>
      <c r="B417" s="63">
        <v>45109.959264534496</v>
      </c>
    </row>
    <row r="418" spans="1:2">
      <c r="A418" s="62">
        <v>0.54166666666666663</v>
      </c>
      <c r="B418" s="63">
        <v>45109.723023967977</v>
      </c>
    </row>
    <row r="419" spans="1:2">
      <c r="A419" s="62">
        <v>0.54236111111111107</v>
      </c>
      <c r="B419" s="63">
        <v>45109.485928520189</v>
      </c>
    </row>
    <row r="420" spans="1:2">
      <c r="A420" s="62">
        <v>0.54305555555555551</v>
      </c>
      <c r="B420" s="63">
        <v>45109.247998195664</v>
      </c>
    </row>
    <row r="421" spans="1:2">
      <c r="A421" s="62">
        <v>0.54374999999999996</v>
      </c>
      <c r="B421" s="63">
        <v>45109.009253152464</v>
      </c>
    </row>
    <row r="422" spans="1:2">
      <c r="A422" s="62">
        <v>0.5444444444444444</v>
      </c>
      <c r="B422" s="63">
        <v>45108.769713702182</v>
      </c>
    </row>
    <row r="423" spans="1:2">
      <c r="A423" s="62">
        <v>0.54513888888888884</v>
      </c>
      <c r="B423" s="63">
        <v>45108.529400309926</v>
      </c>
    </row>
    <row r="424" spans="1:2">
      <c r="A424" s="62">
        <v>0.54583333333333328</v>
      </c>
      <c r="B424" s="63">
        <v>45108.288333594355</v>
      </c>
    </row>
    <row r="425" spans="1:2">
      <c r="A425" s="62">
        <v>0.54652777777777772</v>
      </c>
      <c r="B425" s="63">
        <v>45108.046534327637</v>
      </c>
    </row>
    <row r="426" spans="1:2">
      <c r="A426" s="62">
        <v>0.54722222222222228</v>
      </c>
      <c r="B426" s="63">
        <v>45107.804023435478</v>
      </c>
    </row>
    <row r="427" spans="1:2">
      <c r="A427" s="62">
        <v>0.54791666666666672</v>
      </c>
      <c r="B427" s="63">
        <v>45107.560821997104</v>
      </c>
    </row>
    <row r="428" spans="1:2">
      <c r="A428" s="62">
        <v>0.54861111111111116</v>
      </c>
      <c r="B428" s="63">
        <v>45107.316951245295</v>
      </c>
    </row>
    <row r="429" spans="1:2">
      <c r="A429" s="62">
        <v>0.5493055555555556</v>
      </c>
      <c r="B429" s="63">
        <v>45107.072432566318</v>
      </c>
    </row>
    <row r="430" spans="1:2">
      <c r="A430" s="62">
        <v>0.55000000000000004</v>
      </c>
      <c r="B430" s="63">
        <v>45106.827287499997</v>
      </c>
    </row>
    <row r="431" spans="1:2">
      <c r="A431" s="62">
        <v>0.55069444444444449</v>
      </c>
      <c r="B431" s="63">
        <v>45106.581537739687</v>
      </c>
    </row>
    <row r="432" spans="1:2">
      <c r="A432" s="62">
        <v>0.55138888888888893</v>
      </c>
      <c r="B432" s="63">
        <v>45106.335205132251</v>
      </c>
    </row>
    <row r="433" spans="1:2">
      <c r="A433" s="62">
        <v>0.55208333333333337</v>
      </c>
      <c r="B433" s="63">
        <v>45106.088311678097</v>
      </c>
    </row>
    <row r="434" spans="1:2">
      <c r="A434" s="62">
        <v>0.55277777777777781</v>
      </c>
      <c r="B434" s="63">
        <v>45105.840879531155</v>
      </c>
    </row>
    <row r="435" spans="1:2">
      <c r="A435" s="62">
        <v>0.55347222222222225</v>
      </c>
      <c r="B435" s="63">
        <v>45105.592930998886</v>
      </c>
    </row>
    <row r="436" spans="1:2">
      <c r="A436" s="62">
        <v>0.5541666666666667</v>
      </c>
      <c r="B436" s="63">
        <v>45105.344488542272</v>
      </c>
    </row>
    <row r="437" spans="1:2">
      <c r="A437" s="62">
        <v>0.55486111111111114</v>
      </c>
      <c r="B437" s="63">
        <v>45105.095574775827</v>
      </c>
    </row>
    <row r="438" spans="1:2">
      <c r="A438" s="62">
        <v>0.55555555555555558</v>
      </c>
      <c r="B438" s="63">
        <v>45104.846212467608</v>
      </c>
    </row>
    <row r="439" spans="1:2">
      <c r="A439" s="62">
        <v>0.55625000000000002</v>
      </c>
      <c r="B439" s="63">
        <v>45104.596424539181</v>
      </c>
    </row>
    <row r="440" spans="1:2">
      <c r="A440" s="62">
        <v>0.55694444444444446</v>
      </c>
      <c r="B440" s="63">
        <v>45104.346234065648</v>
      </c>
    </row>
    <row r="441" spans="1:2">
      <c r="A441" s="62">
        <v>0.55763888888888891</v>
      </c>
      <c r="B441" s="63">
        <v>45104.095664275635</v>
      </c>
    </row>
    <row r="442" spans="1:2">
      <c r="A442" s="62">
        <v>0.55833333333333335</v>
      </c>
      <c r="B442" s="63">
        <v>45103.844738551314</v>
      </c>
    </row>
    <row r="443" spans="1:2">
      <c r="A443" s="62">
        <v>0.55902777777777779</v>
      </c>
      <c r="B443" s="63">
        <v>45103.593480428353</v>
      </c>
    </row>
    <row r="444" spans="1:2">
      <c r="A444" s="62">
        <v>0.55972222222222223</v>
      </c>
      <c r="B444" s="63">
        <v>45103.34191359597</v>
      </c>
    </row>
    <row r="445" spans="1:2">
      <c r="A445" s="62">
        <v>0.56041666666666667</v>
      </c>
      <c r="B445" s="63">
        <v>45103.090061896917</v>
      </c>
    </row>
    <row r="446" spans="1:2">
      <c r="A446" s="62">
        <v>0.56111111111111112</v>
      </c>
      <c r="B446" s="63">
        <v>45102.837949327462</v>
      </c>
    </row>
    <row r="447" spans="1:2">
      <c r="A447" s="62">
        <v>0.56180555555555556</v>
      </c>
      <c r="B447" s="63">
        <v>45102.585600037404</v>
      </c>
    </row>
    <row r="448" spans="1:2">
      <c r="A448" s="62">
        <v>0.5625</v>
      </c>
      <c r="B448" s="63">
        <v>45102.333038330078</v>
      </c>
    </row>
    <row r="449" spans="1:2">
      <c r="A449" s="62">
        <v>0.56319444444444444</v>
      </c>
      <c r="B449" s="63">
        <v>45102.080288662328</v>
      </c>
    </row>
    <row r="450" spans="1:2">
      <c r="A450" s="62">
        <v>0.56388888888888888</v>
      </c>
      <c r="B450" s="63">
        <v>45101.827375644556</v>
      </c>
    </row>
    <row r="451" spans="1:2">
      <c r="A451" s="62">
        <v>0.56458333333333333</v>
      </c>
      <c r="B451" s="63">
        <v>45101.574324040652</v>
      </c>
    </row>
    <row r="452" spans="1:2">
      <c r="A452" s="62">
        <v>0.56527777777777777</v>
      </c>
      <c r="B452" s="63">
        <v>45101.321158768085</v>
      </c>
    </row>
    <row r="453" spans="1:2">
      <c r="A453" s="62">
        <v>0.56597222222222221</v>
      </c>
      <c r="B453" s="63">
        <v>45101.067904897805</v>
      </c>
    </row>
    <row r="454" spans="1:2">
      <c r="A454" s="62">
        <v>0.56666666666666665</v>
      </c>
      <c r="B454" s="63">
        <v>45100.81458765432</v>
      </c>
    </row>
    <row r="455" spans="1:2">
      <c r="A455" s="62">
        <v>0.56736111111111109</v>
      </c>
      <c r="B455" s="63">
        <v>45100.561232415661</v>
      </c>
    </row>
    <row r="456" spans="1:2">
      <c r="A456" s="62">
        <v>0.56805555555555554</v>
      </c>
      <c r="B456" s="63">
        <v>45100.307864713366</v>
      </c>
    </row>
    <row r="457" spans="1:2">
      <c r="A457" s="62">
        <v>0.56874999999999998</v>
      </c>
      <c r="B457" s="63">
        <v>45100.054510232541</v>
      </c>
    </row>
    <row r="458" spans="1:2">
      <c r="A458" s="62">
        <v>0.56944444444444442</v>
      </c>
      <c r="B458" s="63">
        <v>45099.801194811793</v>
      </c>
    </row>
    <row r="459" spans="1:2">
      <c r="A459" s="62">
        <v>0.57013888888888886</v>
      </c>
      <c r="B459" s="63">
        <v>45099.547944443249</v>
      </c>
    </row>
    <row r="460" spans="1:2">
      <c r="A460" s="62">
        <v>0.5708333333333333</v>
      </c>
      <c r="B460" s="63">
        <v>45099.294785272592</v>
      </c>
    </row>
    <row r="461" spans="1:2">
      <c r="A461" s="62">
        <v>0.57152777777777775</v>
      </c>
      <c r="B461" s="63">
        <v>45099.041743599017</v>
      </c>
    </row>
    <row r="462" spans="1:2">
      <c r="A462" s="62">
        <v>0.57222222222222219</v>
      </c>
      <c r="B462" s="63">
        <v>45098.78884587525</v>
      </c>
    </row>
    <row r="463" spans="1:2">
      <c r="A463" s="62">
        <v>0.57291666666666663</v>
      </c>
      <c r="B463" s="63">
        <v>45098.53611870754</v>
      </c>
    </row>
    <row r="464" spans="1:2">
      <c r="A464" s="62">
        <v>0.57361111111111107</v>
      </c>
      <c r="B464" s="63">
        <v>45098.283588855673</v>
      </c>
    </row>
    <row r="465" spans="1:2">
      <c r="A465" s="62">
        <v>0.57430555555555551</v>
      </c>
      <c r="B465" s="63">
        <v>45098.031283232966</v>
      </c>
    </row>
    <row r="466" spans="1:2">
      <c r="A466" s="62">
        <v>0.57499999999999996</v>
      </c>
      <c r="B466" s="63">
        <v>45097.779228906249</v>
      </c>
    </row>
    <row r="467" spans="1:2">
      <c r="A467" s="62">
        <v>0.5756944444444444</v>
      </c>
      <c r="B467" s="63">
        <v>45097.5274530959</v>
      </c>
    </row>
    <row r="468" spans="1:2">
      <c r="A468" s="62">
        <v>0.57638888888888884</v>
      </c>
      <c r="B468" s="63">
        <v>45097.275983175801</v>
      </c>
    </row>
    <row r="469" spans="1:2">
      <c r="A469" s="62">
        <v>0.57708333333333328</v>
      </c>
      <c r="B469" s="63">
        <v>45097.024846673397</v>
      </c>
    </row>
    <row r="470" spans="1:2">
      <c r="A470" s="62">
        <v>0.57777777777777772</v>
      </c>
      <c r="B470" s="63">
        <v>45096.774071269625</v>
      </c>
    </row>
    <row r="471" spans="1:2">
      <c r="A471" s="62">
        <v>0.57847222222222228</v>
      </c>
      <c r="B471" s="63">
        <v>45096.523684798973</v>
      </c>
    </row>
    <row r="472" spans="1:2">
      <c r="A472" s="62">
        <v>0.57916666666666672</v>
      </c>
      <c r="B472" s="63">
        <v>45096.273715249445</v>
      </c>
    </row>
    <row r="473" spans="1:2">
      <c r="A473" s="62">
        <v>0.57986111111111116</v>
      </c>
      <c r="B473" s="63">
        <v>45096.02419076259</v>
      </c>
    </row>
    <row r="474" spans="1:2">
      <c r="A474" s="62">
        <v>0.5805555555555556</v>
      </c>
      <c r="B474" s="63">
        <v>45095.775139633464</v>
      </c>
    </row>
    <row r="475" spans="1:2">
      <c r="A475" s="62">
        <v>0.58125000000000004</v>
      </c>
      <c r="B475" s="63">
        <v>45095.52659031067</v>
      </c>
    </row>
    <row r="476" spans="1:2">
      <c r="A476" s="62">
        <v>0.58194444444444449</v>
      </c>
      <c r="B476" s="63">
        <v>45095.278571396324</v>
      </c>
    </row>
    <row r="477" spans="1:2">
      <c r="A477" s="62">
        <v>0.58263888888888893</v>
      </c>
      <c r="B477" s="63">
        <v>45095.031111646087</v>
      </c>
    </row>
    <row r="478" spans="1:2">
      <c r="A478" s="62">
        <v>0.58333333333333337</v>
      </c>
      <c r="B478" s="63">
        <v>45094.784239969136</v>
      </c>
    </row>
    <row r="479" spans="1:2">
      <c r="A479" s="62">
        <v>0.58402777777777781</v>
      </c>
      <c r="B479" s="63">
        <v>45094.537985428178</v>
      </c>
    </row>
    <row r="480" spans="1:2">
      <c r="A480" s="62">
        <v>0.58472222222222225</v>
      </c>
      <c r="B480" s="63">
        <v>45094.29237723945</v>
      </c>
    </row>
    <row r="481" spans="1:2">
      <c r="A481" s="62">
        <v>0.5854166666666667</v>
      </c>
      <c r="B481" s="63">
        <v>45094.047444772717</v>
      </c>
    </row>
    <row r="482" spans="1:2">
      <c r="A482" s="62">
        <v>0.58611111111111114</v>
      </c>
      <c r="B482" s="63">
        <v>45093.803217551271</v>
      </c>
    </row>
    <row r="483" spans="1:2">
      <c r="A483" s="62">
        <v>0.58680555555555558</v>
      </c>
      <c r="B483" s="63">
        <v>45093.559725251944</v>
      </c>
    </row>
    <row r="484" spans="1:2">
      <c r="A484" s="62">
        <v>0.58750000000000002</v>
      </c>
      <c r="B484" s="63">
        <v>45093.316997705078</v>
      </c>
    </row>
    <row r="485" spans="1:2">
      <c r="A485" s="62">
        <v>0.58819444444444446</v>
      </c>
      <c r="B485" s="63">
        <v>45093.075064894554</v>
      </c>
    </row>
    <row r="486" spans="1:2">
      <c r="A486" s="62">
        <v>0.58888888888888891</v>
      </c>
      <c r="B486" s="63">
        <v>45092.83395695778</v>
      </c>
    </row>
    <row r="487" spans="1:2">
      <c r="A487" s="62">
        <v>0.58958333333333335</v>
      </c>
      <c r="B487" s="63">
        <v>45092.593704185689</v>
      </c>
    </row>
    <row r="488" spans="1:2">
      <c r="A488" s="62">
        <v>0.59027777777777779</v>
      </c>
      <c r="B488" s="63">
        <v>45092.354337022756</v>
      </c>
    </row>
    <row r="489" spans="1:2">
      <c r="A489" s="62">
        <v>0.59097222222222223</v>
      </c>
      <c r="B489" s="63">
        <v>45092.11588606696</v>
      </c>
    </row>
    <row r="490" spans="1:2">
      <c r="A490" s="62">
        <v>0.59166666666666667</v>
      </c>
      <c r="B490" s="63">
        <v>45091.87838206983</v>
      </c>
    </row>
    <row r="491" spans="1:2">
      <c r="A491" s="62">
        <v>0.59236111111111112</v>
      </c>
      <c r="B491" s="63">
        <v>45091.64185593641</v>
      </c>
    </row>
    <row r="492" spans="1:2">
      <c r="A492" s="62">
        <v>0.59305555555555556</v>
      </c>
      <c r="B492" s="63">
        <v>45091.40633872529</v>
      </c>
    </row>
    <row r="493" spans="1:2">
      <c r="A493" s="62">
        <v>0.59375</v>
      </c>
      <c r="B493" s="63">
        <v>45091.17186164856</v>
      </c>
    </row>
    <row r="494" spans="1:2">
      <c r="A494" s="62">
        <v>0.59444444444444444</v>
      </c>
      <c r="B494" s="63">
        <v>45090.938456071861</v>
      </c>
    </row>
    <row r="495" spans="1:2">
      <c r="A495" s="62">
        <v>0.59513888888888888</v>
      </c>
      <c r="B495" s="63">
        <v>45090.706153514366</v>
      </c>
    </row>
    <row r="496" spans="1:2">
      <c r="A496" s="62">
        <v>0.59583333333333333</v>
      </c>
      <c r="B496" s="63">
        <v>45090.474985648747</v>
      </c>
    </row>
    <row r="497" spans="1:2">
      <c r="A497" s="62">
        <v>0.59652777777777777</v>
      </c>
      <c r="B497" s="63">
        <v>45090.244984301244</v>
      </c>
    </row>
    <row r="498" spans="1:2">
      <c r="A498" s="62">
        <v>0.59722222222222221</v>
      </c>
      <c r="B498" s="63">
        <v>45090.016181451589</v>
      </c>
    </row>
    <row r="499" spans="1:2">
      <c r="A499" s="62">
        <v>0.59791666666666665</v>
      </c>
      <c r="B499" s="63">
        <v>45089.788609233074</v>
      </c>
    </row>
    <row r="500" spans="1:2">
      <c r="A500" s="62">
        <v>0.59861111111111109</v>
      </c>
      <c r="B500" s="63">
        <v>45089.562299932491</v>
      </c>
    </row>
    <row r="501" spans="1:2">
      <c r="A501" s="62">
        <v>0.59930555555555554</v>
      </c>
      <c r="B501" s="63">
        <v>45089.337285990179</v>
      </c>
    </row>
    <row r="502" spans="1:2">
      <c r="A502" s="62">
        <v>0.6</v>
      </c>
      <c r="B502" s="63">
        <v>45089.113599999997</v>
      </c>
    </row>
    <row r="503" spans="1:2">
      <c r="A503" s="62">
        <v>0.60069444444444442</v>
      </c>
      <c r="B503" s="63">
        <v>45088.891274709342</v>
      </c>
    </row>
    <row r="504" spans="1:2">
      <c r="A504" s="62">
        <v>0.60138888888888886</v>
      </c>
      <c r="B504" s="63">
        <v>45088.670343019126</v>
      </c>
    </row>
    <row r="505" spans="1:2">
      <c r="A505" s="62">
        <v>0.6020833333333333</v>
      </c>
      <c r="B505" s="63">
        <v>45088.450837983801</v>
      </c>
    </row>
    <row r="506" spans="1:2">
      <c r="A506" s="62">
        <v>0.60277777777777775</v>
      </c>
      <c r="B506" s="63">
        <v>45088.23279281133</v>
      </c>
    </row>
    <row r="507" spans="1:2">
      <c r="A507" s="62">
        <v>0.60347222222222219</v>
      </c>
      <c r="B507" s="63">
        <v>45088.016240863239</v>
      </c>
    </row>
    <row r="508" spans="1:2">
      <c r="A508" s="62">
        <v>0.60416666666666663</v>
      </c>
      <c r="B508" s="63">
        <v>45087.801215654537</v>
      </c>
    </row>
    <row r="509" spans="1:2">
      <c r="A509" s="62">
        <v>0.60486111111111107</v>
      </c>
      <c r="B509" s="63">
        <v>45087.587750853803</v>
      </c>
    </row>
    <row r="510" spans="1:2">
      <c r="A510" s="62">
        <v>0.60555555555555551</v>
      </c>
      <c r="B510" s="63">
        <v>45087.375880283114</v>
      </c>
    </row>
    <row r="511" spans="1:2">
      <c r="A511" s="62">
        <v>0.60624999999999996</v>
      </c>
      <c r="B511" s="63">
        <v>45087.165637918093</v>
      </c>
    </row>
    <row r="512" spans="1:2">
      <c r="A512" s="62">
        <v>0.6069444444444444</v>
      </c>
      <c r="B512" s="63">
        <v>45086.957057887885</v>
      </c>
    </row>
    <row r="513" spans="1:2">
      <c r="A513" s="62">
        <v>0.60763888888888884</v>
      </c>
      <c r="B513" s="63">
        <v>45086.750174475157</v>
      </c>
    </row>
    <row r="514" spans="1:2">
      <c r="A514" s="62">
        <v>0.60833333333333328</v>
      </c>
      <c r="B514" s="63">
        <v>45086.54502211613</v>
      </c>
    </row>
    <row r="515" spans="1:2">
      <c r="A515" s="62">
        <v>0.60902777777777772</v>
      </c>
      <c r="B515" s="63">
        <v>45086.341635400517</v>
      </c>
    </row>
    <row r="516" spans="1:2">
      <c r="A516" s="62">
        <v>0.60972222222222228</v>
      </c>
      <c r="B516" s="63">
        <v>45086.140049071582</v>
      </c>
    </row>
    <row r="517" spans="1:2">
      <c r="A517" s="62">
        <v>0.61041666666666672</v>
      </c>
      <c r="B517" s="63">
        <v>45085.940298026115</v>
      </c>
    </row>
    <row r="518" spans="1:2">
      <c r="A518" s="62">
        <v>0.61111111111111116</v>
      </c>
      <c r="B518" s="63">
        <v>45085.742417314432</v>
      </c>
    </row>
    <row r="519" spans="1:2">
      <c r="A519" s="62">
        <v>0.6118055555555556</v>
      </c>
      <c r="B519" s="63">
        <v>45085.546442140381</v>
      </c>
    </row>
    <row r="520" spans="1:2">
      <c r="A520" s="62">
        <v>0.61250000000000004</v>
      </c>
      <c r="B520" s="63">
        <v>45085.352407861326</v>
      </c>
    </row>
    <row r="521" spans="1:2">
      <c r="A521" s="62">
        <v>0.61319444444444449</v>
      </c>
      <c r="B521" s="63">
        <v>45085.160349988175</v>
      </c>
    </row>
    <row r="522" spans="1:2">
      <c r="A522" s="62">
        <v>0.61388888888888893</v>
      </c>
      <c r="B522" s="63">
        <v>45084.970304185365</v>
      </c>
    </row>
    <row r="523" spans="1:2">
      <c r="A523" s="62">
        <v>0.61458333333333337</v>
      </c>
      <c r="B523" s="63">
        <v>45084.782306270834</v>
      </c>
    </row>
    <row r="524" spans="1:2">
      <c r="A524" s="62">
        <v>0.61527777777777781</v>
      </c>
      <c r="B524" s="63">
        <v>45084.596392216088</v>
      </c>
    </row>
    <row r="525" spans="1:2">
      <c r="A525" s="62">
        <v>0.61597222222222225</v>
      </c>
      <c r="B525" s="63">
        <v>45084.412598146126</v>
      </c>
    </row>
    <row r="526" spans="1:2">
      <c r="A526" s="62">
        <v>0.6166666666666667</v>
      </c>
      <c r="B526" s="63">
        <v>45084.230960339504</v>
      </c>
    </row>
    <row r="527" spans="1:2">
      <c r="A527" s="62">
        <v>0.61736111111111114</v>
      </c>
      <c r="B527" s="63">
        <v>45084.05151522829</v>
      </c>
    </row>
    <row r="528" spans="1:2">
      <c r="A528" s="62">
        <v>0.61805555555555558</v>
      </c>
      <c r="B528" s="63">
        <v>45083.874299398085</v>
      </c>
    </row>
    <row r="529" spans="1:2">
      <c r="A529" s="62">
        <v>0.61875000000000002</v>
      </c>
      <c r="B529" s="63">
        <v>45083.699349588009</v>
      </c>
    </row>
    <row r="530" spans="1:2">
      <c r="A530" s="62">
        <v>0.61944444444444446</v>
      </c>
      <c r="B530" s="63">
        <v>45083.526702690731</v>
      </c>
    </row>
    <row r="531" spans="1:2">
      <c r="A531" s="62">
        <v>0.62013888888888891</v>
      </c>
      <c r="B531" s="63">
        <v>45083.356395752431</v>
      </c>
    </row>
    <row r="532" spans="1:2">
      <c r="A532" s="62">
        <v>0.62083333333333335</v>
      </c>
      <c r="B532" s="63">
        <v>45083.188465972824</v>
      </c>
    </row>
    <row r="533" spans="1:2">
      <c r="A533" s="62">
        <v>0.62152777777777779</v>
      </c>
      <c r="B533" s="63">
        <v>45083.022950705148</v>
      </c>
    </row>
    <row r="534" spans="1:2">
      <c r="A534" s="62">
        <v>0.62222222222222223</v>
      </c>
      <c r="B534" s="63">
        <v>45082.859887456179</v>
      </c>
    </row>
    <row r="535" spans="1:2">
      <c r="A535" s="62">
        <v>0.62291666666666667</v>
      </c>
      <c r="B535" s="63">
        <v>45082.699313886216</v>
      </c>
    </row>
    <row r="536" spans="1:2">
      <c r="A536" s="62">
        <v>0.62361111111111112</v>
      </c>
      <c r="B536" s="63">
        <v>45082.54126780908</v>
      </c>
    </row>
    <row r="537" spans="1:2">
      <c r="A537" s="62">
        <v>0.62430555555555556</v>
      </c>
      <c r="B537" s="63">
        <v>45082.385787192128</v>
      </c>
    </row>
    <row r="538" spans="1:2">
      <c r="A538" s="62">
        <v>0.625</v>
      </c>
      <c r="B538" s="63">
        <v>45082.23291015625</v>
      </c>
    </row>
    <row r="539" spans="1:2">
      <c r="A539" s="62">
        <v>0.62569444444444444</v>
      </c>
      <c r="B539" s="63">
        <v>45082.082674975856</v>
      </c>
    </row>
    <row r="540" spans="1:2">
      <c r="A540" s="62">
        <v>0.62638888888888888</v>
      </c>
      <c r="B540" s="63">
        <v>45081.935120078881</v>
      </c>
    </row>
    <row r="541" spans="1:2">
      <c r="A541" s="62">
        <v>0.62708333333333333</v>
      </c>
      <c r="B541" s="63">
        <v>45081.790284046801</v>
      </c>
    </row>
    <row r="542" spans="1:2">
      <c r="A542" s="62">
        <v>0.62777777777777777</v>
      </c>
      <c r="B542" s="63">
        <v>45081.64820561462</v>
      </c>
    </row>
    <row r="543" spans="1:2">
      <c r="A543" s="62">
        <v>0.62847222222222221</v>
      </c>
      <c r="B543" s="63">
        <v>45081.508923670845</v>
      </c>
    </row>
    <row r="544" spans="1:2">
      <c r="A544" s="62">
        <v>0.62916666666666665</v>
      </c>
      <c r="B544" s="63">
        <v>45081.372477257544</v>
      </c>
    </row>
    <row r="545" spans="1:2">
      <c r="A545" s="62">
        <v>0.62986111111111109</v>
      </c>
      <c r="B545" s="63">
        <v>45081.238905570302</v>
      </c>
    </row>
    <row r="546" spans="1:2">
      <c r="A546" s="62">
        <v>0.63055555555555554</v>
      </c>
      <c r="B546" s="63">
        <v>45081.108247958226</v>
      </c>
    </row>
    <row r="547" spans="1:2">
      <c r="A547" s="62">
        <v>0.63124999999999998</v>
      </c>
      <c r="B547" s="63">
        <v>45080.98054392395</v>
      </c>
    </row>
    <row r="548" spans="1:2">
      <c r="A548" s="62">
        <v>0.63194444444444442</v>
      </c>
      <c r="B548" s="63">
        <v>45080.855833123649</v>
      </c>
    </row>
    <row r="549" spans="1:2">
      <c r="A549" s="62">
        <v>0.63263888888888886</v>
      </c>
      <c r="B549" s="63">
        <v>45080.734155367019</v>
      </c>
    </row>
    <row r="550" spans="1:2">
      <c r="A550" s="62">
        <v>0.6333333333333333</v>
      </c>
      <c r="B550" s="63">
        <v>45080.615550617287</v>
      </c>
    </row>
    <row r="551" spans="1:2">
      <c r="A551" s="62">
        <v>0.63402777777777775</v>
      </c>
      <c r="B551" s="63">
        <v>45080.500058991194</v>
      </c>
    </row>
    <row r="552" spans="1:2">
      <c r="A552" s="62">
        <v>0.63472222222222219</v>
      </c>
      <c r="B552" s="63">
        <v>45080.387720759041</v>
      </c>
    </row>
    <row r="553" spans="1:2">
      <c r="A553" s="62">
        <v>0.63541666666666663</v>
      </c>
      <c r="B553" s="63">
        <v>45080.278576344615</v>
      </c>
    </row>
    <row r="554" spans="1:2">
      <c r="A554" s="62">
        <v>0.63611111111111107</v>
      </c>
      <c r="B554" s="63">
        <v>45080.172666325278</v>
      </c>
    </row>
    <row r="555" spans="1:2">
      <c r="A555" s="62">
        <v>0.63680555555555551</v>
      </c>
      <c r="B555" s="63">
        <v>45080.070031431882</v>
      </c>
    </row>
    <row r="556" spans="1:2">
      <c r="A556" s="62">
        <v>0.63749999999999996</v>
      </c>
      <c r="B556" s="63">
        <v>45079.970712548828</v>
      </c>
    </row>
    <row r="557" spans="1:2">
      <c r="A557" s="62">
        <v>0.6381944444444444</v>
      </c>
      <c r="B557" s="63">
        <v>45079.874750714036</v>
      </c>
    </row>
    <row r="558" spans="1:2">
      <c r="A558" s="62">
        <v>0.63888888888888884</v>
      </c>
      <c r="B558" s="63">
        <v>45079.782187118959</v>
      </c>
    </row>
    <row r="559" spans="1:2">
      <c r="A559" s="62">
        <v>0.63958333333333328</v>
      </c>
      <c r="B559" s="63">
        <v>45079.693063108585</v>
      </c>
    </row>
    <row r="560" spans="1:2">
      <c r="A560" s="62">
        <v>0.64027777777777772</v>
      </c>
      <c r="B560" s="63">
        <v>45079.607420181404</v>
      </c>
    </row>
    <row r="561" spans="1:2">
      <c r="A561" s="62">
        <v>0.64097222222222228</v>
      </c>
      <c r="B561" s="63">
        <v>45079.525299989473</v>
      </c>
    </row>
    <row r="562" spans="1:2">
      <c r="A562" s="62">
        <v>0.64166666666666672</v>
      </c>
      <c r="B562" s="63">
        <v>45079.446744338347</v>
      </c>
    </row>
    <row r="563" spans="1:2">
      <c r="A563" s="62">
        <v>0.64236111111111116</v>
      </c>
      <c r="B563" s="63">
        <v>45079.371795187129</v>
      </c>
    </row>
    <row r="564" spans="1:2">
      <c r="A564" s="62">
        <v>0.6430555555555556</v>
      </c>
      <c r="B564" s="63">
        <v>45079.300494648429</v>
      </c>
    </row>
    <row r="565" spans="1:2">
      <c r="A565" s="62">
        <v>0.64375000000000004</v>
      </c>
      <c r="B565" s="63">
        <v>45079.232884988407</v>
      </c>
    </row>
    <row r="566" spans="1:2">
      <c r="A566" s="62">
        <v>0.64444444444444449</v>
      </c>
      <c r="B566" s="63">
        <v>45079.169008626734</v>
      </c>
    </row>
    <row r="567" spans="1:2">
      <c r="A567" s="62">
        <v>0.64513888888888893</v>
      </c>
      <c r="B567" s="63">
        <v>45079.108908136623</v>
      </c>
    </row>
    <row r="568" spans="1:2">
      <c r="A568" s="62">
        <v>0.64583333333333337</v>
      </c>
      <c r="B568" s="63">
        <v>45079.052626244818</v>
      </c>
    </row>
    <row r="569" spans="1:2">
      <c r="A569" s="62">
        <v>0.64652777777777781</v>
      </c>
      <c r="B569" s="63">
        <v>45079.000205831566</v>
      </c>
    </row>
    <row r="570" spans="1:2">
      <c r="A570" s="62">
        <v>0.64722222222222225</v>
      </c>
      <c r="B570" s="63">
        <v>45078.951689930676</v>
      </c>
    </row>
    <row r="571" spans="1:2">
      <c r="A571" s="62">
        <v>0.6479166666666667</v>
      </c>
      <c r="B571" s="63">
        <v>45078.907121729455</v>
      </c>
    </row>
    <row r="572" spans="1:2">
      <c r="A572" s="62">
        <v>0.64861111111111114</v>
      </c>
      <c r="B572" s="63">
        <v>45078.866544568766</v>
      </c>
    </row>
    <row r="573" spans="1:2">
      <c r="A573" s="62">
        <v>0.64930555555555558</v>
      </c>
      <c r="B573" s="63">
        <v>45078.830001942981</v>
      </c>
    </row>
    <row r="574" spans="1:2">
      <c r="A574" s="62">
        <v>0.65</v>
      </c>
      <c r="B574" s="63">
        <v>45078.797537499995</v>
      </c>
    </row>
    <row r="575" spans="1:2">
      <c r="A575" s="62">
        <v>0.65069444444444446</v>
      </c>
      <c r="B575" s="63">
        <v>45078.769195041263</v>
      </c>
    </row>
    <row r="576" spans="1:2">
      <c r="A576" s="62">
        <v>0.65138888888888891</v>
      </c>
      <c r="B576" s="63">
        <v>45078.745018521739</v>
      </c>
    </row>
    <row r="577" spans="1:4">
      <c r="A577" s="62">
        <v>0.65208333333333335</v>
      </c>
      <c r="B577" s="63">
        <v>45078.725052049915</v>
      </c>
    </row>
    <row r="578" spans="1:4">
      <c r="A578" s="62">
        <v>0.65277777777777779</v>
      </c>
      <c r="B578" s="63">
        <v>45078.709339887806</v>
      </c>
    </row>
    <row r="579" spans="1:4">
      <c r="A579" s="27"/>
      <c r="B579" s="28"/>
      <c r="C579" s="27"/>
      <c r="D579" s="26"/>
    </row>
    <row r="580" spans="1:4">
      <c r="A580" s="27"/>
      <c r="B580" s="28"/>
      <c r="C580" s="27"/>
      <c r="D580" s="26"/>
    </row>
    <row r="581" spans="1:4">
      <c r="A581" s="27"/>
      <c r="B581" s="28"/>
      <c r="C581" s="27"/>
      <c r="D581" s="26"/>
    </row>
    <row r="582" spans="1:4">
      <c r="A582" s="27"/>
      <c r="B582" s="28"/>
      <c r="C582" s="27"/>
      <c r="D582" s="26"/>
    </row>
    <row r="583" spans="1:4">
      <c r="A583" s="27"/>
      <c r="B583" s="28"/>
      <c r="C583" s="27"/>
      <c r="D583" s="26"/>
    </row>
    <row r="584" spans="1:4">
      <c r="A584" s="27"/>
      <c r="B584" s="28"/>
      <c r="C584" s="27"/>
      <c r="D584" s="26"/>
    </row>
    <row r="585" spans="1:4">
      <c r="A585" s="27"/>
      <c r="B585" s="28"/>
      <c r="C585" s="27"/>
      <c r="D585" s="26"/>
    </row>
    <row r="586" spans="1:4">
      <c r="A586" s="27"/>
      <c r="B586" s="28"/>
      <c r="C586" s="27"/>
      <c r="D586" s="26"/>
    </row>
    <row r="587" spans="1:4">
      <c r="A587" s="27"/>
      <c r="B587" s="28"/>
      <c r="C587" s="27"/>
      <c r="D587" s="26"/>
    </row>
    <row r="588" spans="1:4">
      <c r="A588" s="27"/>
      <c r="B588" s="28"/>
      <c r="C588" s="27"/>
      <c r="D588" s="26"/>
    </row>
    <row r="589" spans="1:4">
      <c r="A589" s="27"/>
      <c r="B589" s="28"/>
      <c r="C589" s="27"/>
      <c r="D589" s="26"/>
    </row>
    <row r="590" spans="1:4">
      <c r="A590" s="27"/>
      <c r="B590" s="28"/>
      <c r="C590" s="27"/>
      <c r="D590" s="26"/>
    </row>
    <row r="591" spans="1:4">
      <c r="A591" s="27"/>
      <c r="B591" s="28"/>
      <c r="C591" s="27"/>
      <c r="D591" s="26"/>
    </row>
    <row r="592" spans="1:4">
      <c r="A592" s="27"/>
      <c r="B592" s="28"/>
      <c r="C592" s="27"/>
      <c r="D592" s="26"/>
    </row>
    <row r="593" spans="1:4">
      <c r="A593" s="27"/>
      <c r="B593" s="28"/>
      <c r="C593" s="27"/>
      <c r="D593" s="26"/>
    </row>
    <row r="594" spans="1:4">
      <c r="A594" s="27"/>
      <c r="B594" s="28"/>
      <c r="C594" s="27"/>
      <c r="D594" s="26"/>
    </row>
    <row r="595" spans="1:4">
      <c r="A595" s="27"/>
      <c r="B595" s="28"/>
      <c r="C595" s="27"/>
      <c r="D595" s="26"/>
    </row>
    <row r="596" spans="1:4">
      <c r="A596" s="27"/>
      <c r="B596" s="28"/>
      <c r="C596" s="27"/>
      <c r="D596" s="26"/>
    </row>
    <row r="597" spans="1:4">
      <c r="A597" s="27"/>
      <c r="B597" s="28"/>
      <c r="C597" s="27"/>
      <c r="D597" s="26"/>
    </row>
    <row r="598" spans="1:4">
      <c r="A598" s="27"/>
      <c r="B598" s="28"/>
      <c r="C598" s="27"/>
      <c r="D598" s="26"/>
    </row>
    <row r="599" spans="1:4">
      <c r="A599" s="27"/>
      <c r="B599" s="28"/>
      <c r="C599" s="27"/>
      <c r="D599" s="26"/>
    </row>
    <row r="600" spans="1:4">
      <c r="A600" s="27"/>
      <c r="B600" s="28"/>
      <c r="C600" s="27"/>
      <c r="D600" s="26"/>
    </row>
    <row r="601" spans="1:4">
      <c r="A601" s="27"/>
      <c r="B601" s="28"/>
      <c r="C601" s="27"/>
      <c r="D601" s="26"/>
    </row>
    <row r="602" spans="1:4">
      <c r="A602" s="27"/>
      <c r="B602" s="28"/>
      <c r="C602" s="27"/>
      <c r="D602" s="26"/>
    </row>
    <row r="603" spans="1:4">
      <c r="A603" s="27"/>
      <c r="B603" s="28"/>
      <c r="C603" s="27"/>
      <c r="D603" s="26"/>
    </row>
    <row r="604" spans="1:4">
      <c r="A604" s="27"/>
      <c r="B604" s="28"/>
      <c r="C604" s="27"/>
      <c r="D604" s="26"/>
    </row>
    <row r="605" spans="1:4">
      <c r="A605" s="27"/>
      <c r="B605" s="28"/>
      <c r="C605" s="27"/>
      <c r="D605" s="26"/>
    </row>
    <row r="606" spans="1:4">
      <c r="A606" s="27"/>
      <c r="B606" s="28"/>
      <c r="C606" s="27"/>
      <c r="D606" s="26"/>
    </row>
    <row r="607" spans="1:4">
      <c r="A607" s="27"/>
      <c r="B607" s="28"/>
      <c r="C607" s="27"/>
      <c r="D607" s="26"/>
    </row>
    <row r="608" spans="1:4">
      <c r="A608" s="27"/>
      <c r="B608" s="28"/>
      <c r="C608" s="27"/>
      <c r="D608" s="26"/>
    </row>
    <row r="609" spans="1:4">
      <c r="A609" s="27"/>
      <c r="B609" s="28"/>
      <c r="C609" s="27"/>
      <c r="D609" s="26"/>
    </row>
    <row r="610" spans="1:4">
      <c r="A610" s="27"/>
      <c r="B610" s="28"/>
      <c r="C610" s="27"/>
      <c r="D610" s="26"/>
    </row>
    <row r="611" spans="1:4">
      <c r="A611" s="27"/>
      <c r="B611" s="28"/>
      <c r="C611" s="27"/>
      <c r="D611" s="26"/>
    </row>
    <row r="612" spans="1:4">
      <c r="A612" s="27"/>
      <c r="B612" s="28"/>
      <c r="C612" s="27"/>
      <c r="D612" s="26"/>
    </row>
    <row r="613" spans="1:4">
      <c r="A613" s="27"/>
      <c r="B613" s="28"/>
      <c r="C613" s="27"/>
      <c r="D613" s="26"/>
    </row>
    <row r="614" spans="1:4">
      <c r="A614" s="27"/>
      <c r="B614" s="28"/>
      <c r="C614" s="27"/>
      <c r="D614" s="26"/>
    </row>
    <row r="615" spans="1:4">
      <c r="A615" s="27"/>
      <c r="B615" s="28"/>
      <c r="C615" s="27"/>
      <c r="D615" s="26"/>
    </row>
    <row r="616" spans="1:4">
      <c r="A616" s="27"/>
      <c r="B616" s="28"/>
      <c r="C616" s="27"/>
      <c r="D616" s="26"/>
    </row>
    <row r="617" spans="1:4">
      <c r="A617" s="27"/>
      <c r="B617" s="28"/>
      <c r="C617" s="27"/>
      <c r="D617" s="26"/>
    </row>
    <row r="618" spans="1:4">
      <c r="A618" s="27"/>
      <c r="B618" s="28"/>
      <c r="C618" s="27"/>
      <c r="D618" s="26"/>
    </row>
    <row r="619" spans="1:4">
      <c r="A619" s="27"/>
      <c r="B619" s="28"/>
      <c r="C619" s="27"/>
      <c r="D619" s="26"/>
    </row>
    <row r="620" spans="1:4">
      <c r="A620" s="27"/>
      <c r="B620" s="28"/>
      <c r="C620" s="27"/>
      <c r="D620" s="26"/>
    </row>
    <row r="621" spans="1:4">
      <c r="A621" s="27"/>
      <c r="B621" s="28"/>
      <c r="C621" s="27"/>
      <c r="D621" s="26"/>
    </row>
    <row r="622" spans="1:4">
      <c r="A622" s="27"/>
      <c r="B622" s="28"/>
      <c r="C622" s="27"/>
      <c r="D622" s="26"/>
    </row>
    <row r="623" spans="1:4">
      <c r="A623" s="27"/>
      <c r="B623" s="28"/>
      <c r="C623" s="27"/>
      <c r="D623" s="26"/>
    </row>
    <row r="624" spans="1:4">
      <c r="A624" s="27"/>
      <c r="B624" s="28"/>
      <c r="C624" s="27"/>
      <c r="D624" s="26"/>
    </row>
    <row r="625" spans="1:4">
      <c r="A625" s="27"/>
      <c r="B625" s="28"/>
      <c r="C625" s="27"/>
      <c r="D625" s="26"/>
    </row>
    <row r="626" spans="1:4">
      <c r="A626" s="27"/>
      <c r="B626" s="28"/>
      <c r="C626" s="27"/>
      <c r="D626" s="26"/>
    </row>
    <row r="627" spans="1:4">
      <c r="A627" s="27"/>
      <c r="B627" s="28"/>
      <c r="C627" s="27"/>
      <c r="D627" s="26"/>
    </row>
    <row r="628" spans="1:4">
      <c r="A628" s="27"/>
      <c r="B628" s="28"/>
      <c r="C628" s="27"/>
      <c r="D628" s="26"/>
    </row>
    <row r="629" spans="1:4">
      <c r="A629" s="27"/>
      <c r="B629" s="28"/>
      <c r="C629" s="27"/>
      <c r="D629" s="26"/>
    </row>
    <row r="630" spans="1:4">
      <c r="A630" s="27"/>
      <c r="B630" s="28"/>
      <c r="C630" s="27"/>
      <c r="D630" s="26"/>
    </row>
    <row r="631" spans="1:4">
      <c r="A631" s="27"/>
      <c r="B631" s="28"/>
      <c r="C631" s="27"/>
      <c r="D631" s="26"/>
    </row>
    <row r="632" spans="1:4">
      <c r="A632" s="27"/>
      <c r="B632" s="28"/>
      <c r="C632" s="27"/>
      <c r="D632" s="26"/>
    </row>
    <row r="633" spans="1:4">
      <c r="A633" s="27"/>
      <c r="B633" s="28"/>
      <c r="C633" s="27"/>
      <c r="D633" s="26"/>
    </row>
    <row r="634" spans="1:4">
      <c r="A634" s="27"/>
      <c r="B634" s="28"/>
      <c r="C634" s="27"/>
      <c r="D634" s="26"/>
    </row>
    <row r="635" spans="1:4">
      <c r="A635" s="27"/>
      <c r="B635" s="28"/>
      <c r="C635" s="27"/>
      <c r="D635" s="26"/>
    </row>
    <row r="636" spans="1:4">
      <c r="A636" s="27"/>
      <c r="B636" s="28"/>
      <c r="C636" s="27"/>
      <c r="D636" s="26"/>
    </row>
    <row r="637" spans="1:4">
      <c r="A637" s="27"/>
      <c r="B637" s="28"/>
      <c r="C637" s="27"/>
      <c r="D637" s="26"/>
    </row>
    <row r="638" spans="1:4">
      <c r="A638" s="27"/>
      <c r="B638" s="28"/>
      <c r="C638" s="27"/>
      <c r="D638" s="26"/>
    </row>
    <row r="639" spans="1:4">
      <c r="A639" s="27"/>
      <c r="B639" s="28"/>
      <c r="C639" s="27"/>
      <c r="D639" s="26"/>
    </row>
    <row r="640" spans="1:4">
      <c r="A640" s="27"/>
      <c r="B640" s="28"/>
      <c r="C640" s="27"/>
      <c r="D640" s="26"/>
    </row>
    <row r="641" spans="1:4">
      <c r="A641" s="27"/>
      <c r="B641" s="28"/>
      <c r="C641" s="27"/>
      <c r="D641" s="26"/>
    </row>
    <row r="642" spans="1:4">
      <c r="A642" s="27"/>
      <c r="B642" s="28"/>
      <c r="C642" s="27"/>
      <c r="D642" s="26"/>
    </row>
    <row r="643" spans="1:4">
      <c r="A643" s="27"/>
      <c r="B643" s="28"/>
      <c r="C643" s="27"/>
      <c r="D643" s="26"/>
    </row>
    <row r="644" spans="1:4">
      <c r="A644" s="27"/>
      <c r="B644" s="28"/>
      <c r="C644" s="27"/>
      <c r="D644" s="26"/>
    </row>
    <row r="645" spans="1:4">
      <c r="A645" s="27"/>
      <c r="B645" s="28"/>
      <c r="C645" s="27"/>
      <c r="D645" s="26"/>
    </row>
    <row r="646" spans="1:4">
      <c r="A646" s="27"/>
      <c r="B646" s="28"/>
      <c r="C646" s="27"/>
      <c r="D646" s="26"/>
    </row>
    <row r="647" spans="1:4">
      <c r="A647" s="27"/>
      <c r="B647" s="28"/>
      <c r="C647" s="27"/>
      <c r="D647" s="26"/>
    </row>
    <row r="648" spans="1:4">
      <c r="A648" s="27"/>
      <c r="B648" s="28"/>
      <c r="C648" s="27"/>
      <c r="D648" s="26"/>
    </row>
    <row r="649" spans="1:4">
      <c r="A649" s="27"/>
      <c r="B649" s="28"/>
      <c r="C649" s="27"/>
      <c r="D649" s="26"/>
    </row>
    <row r="650" spans="1:4">
      <c r="A650" s="29"/>
      <c r="B650"/>
      <c r="C650" s="29"/>
    </row>
    <row r="651" spans="1:4">
      <c r="A651" s="29"/>
      <c r="B651"/>
      <c r="C651" s="29"/>
    </row>
    <row r="652" spans="1:4">
      <c r="A652" s="29"/>
      <c r="B652"/>
      <c r="C652" s="29"/>
    </row>
    <row r="653" spans="1:4">
      <c r="A653" s="29"/>
      <c r="B653"/>
      <c r="C653" s="29"/>
    </row>
    <row r="654" spans="1:4">
      <c r="A654" s="29"/>
      <c r="B654"/>
      <c r="C654" s="29"/>
    </row>
    <row r="655" spans="1:4">
      <c r="A655" s="29"/>
      <c r="B655"/>
      <c r="C655" s="29"/>
    </row>
    <row r="656" spans="1:4">
      <c r="A656" s="29"/>
      <c r="B656"/>
      <c r="C656" s="29"/>
    </row>
    <row r="657" spans="1:3">
      <c r="A657" s="29"/>
      <c r="B657"/>
      <c r="C657" s="29"/>
    </row>
    <row r="658" spans="1:3">
      <c r="A658" s="29"/>
      <c r="B658"/>
      <c r="C658" s="29"/>
    </row>
    <row r="659" spans="1:3">
      <c r="A659" s="29"/>
      <c r="B659"/>
      <c r="C659" s="29"/>
    </row>
    <row r="660" spans="1:3">
      <c r="A660" s="29"/>
      <c r="B660"/>
      <c r="C660" s="29"/>
    </row>
    <row r="661" spans="1:3">
      <c r="A661" s="29"/>
      <c r="B661"/>
      <c r="C661" s="29"/>
    </row>
    <row r="662" spans="1:3">
      <c r="A662" s="29"/>
      <c r="B662"/>
      <c r="C662" s="29"/>
    </row>
    <row r="663" spans="1:3">
      <c r="A663" s="29"/>
      <c r="B663"/>
      <c r="C663" s="29"/>
    </row>
    <row r="664" spans="1:3">
      <c r="A664" s="29"/>
      <c r="B664"/>
      <c r="C664" s="29"/>
    </row>
    <row r="665" spans="1:3">
      <c r="A665" s="29"/>
      <c r="B665"/>
      <c r="C665" s="29"/>
    </row>
    <row r="666" spans="1:3">
      <c r="A666" s="29"/>
      <c r="B666"/>
      <c r="C666" s="29"/>
    </row>
    <row r="667" spans="1:3">
      <c r="A667" s="29"/>
      <c r="B667"/>
      <c r="C667" s="29"/>
    </row>
  </sheetData>
  <mergeCells count="1">
    <mergeCell ref="A1:B1"/>
  </mergeCells>
  <pageMargins left="0.7" right="0.7" top="0.75" bottom="0.75" header="0.3" footer="0.3"/>
  <pageSetup paperSize="12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2A7C-82CC-4DDA-873E-63F55996B692}">
  <dimension ref="A1:R977"/>
  <sheetViews>
    <sheetView zoomScale="70" zoomScaleNormal="70" workbookViewId="0">
      <selection activeCell="V17" sqref="V17"/>
    </sheetView>
  </sheetViews>
  <sheetFormatPr defaultColWidth="14.44140625" defaultRowHeight="15" customHeight="1"/>
  <cols>
    <col min="1" max="1" width="11.44140625" style="2" customWidth="1"/>
    <col min="2" max="4" width="8.6640625" style="2" customWidth="1"/>
    <col min="5" max="5" width="26.109375" style="2" customWidth="1"/>
    <col min="6" max="7" width="8.6640625" style="2" customWidth="1"/>
    <col min="8" max="8" width="17.6640625" style="2" customWidth="1"/>
    <col min="9" max="10" width="8.6640625" style="2" customWidth="1"/>
    <col min="11" max="11" width="11.88671875" style="2" bestFit="1" customWidth="1"/>
    <col min="12" max="12" width="10.33203125" style="2" bestFit="1" customWidth="1"/>
    <col min="13" max="13" width="8.6640625" style="2" customWidth="1"/>
    <col min="14" max="14" width="16.33203125" style="2" bestFit="1" customWidth="1"/>
    <col min="15" max="26" width="8.6640625" style="2" customWidth="1"/>
    <col min="27" max="16384" width="14.44140625" style="2"/>
  </cols>
  <sheetData>
    <row r="1" spans="1:14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4" ht="24.6" customHeight="1">
      <c r="A2" s="3" t="s">
        <v>5</v>
      </c>
      <c r="B2" s="4">
        <v>406371</v>
      </c>
      <c r="C2" s="3">
        <v>9134060</v>
      </c>
      <c r="D2" s="3">
        <v>88</v>
      </c>
      <c r="E2" s="5"/>
      <c r="F2" s="87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7" t="s">
        <v>12</v>
      </c>
      <c r="N2" s="8" t="s">
        <v>13</v>
      </c>
    </row>
    <row r="3" spans="1:14" ht="24.6" customHeight="1">
      <c r="A3" s="3" t="s">
        <v>14</v>
      </c>
      <c r="B3" s="3">
        <v>406127</v>
      </c>
      <c r="C3" s="3">
        <v>9134092</v>
      </c>
      <c r="D3" s="3">
        <v>82</v>
      </c>
      <c r="E3" s="5"/>
      <c r="F3" s="88"/>
      <c r="H3" s="9">
        <v>1</v>
      </c>
      <c r="I3" s="10">
        <v>44936</v>
      </c>
      <c r="J3" s="9">
        <v>45092.7</v>
      </c>
      <c r="K3" s="11">
        <v>45913</v>
      </c>
      <c r="L3" s="12">
        <v>-31.672619999999998</v>
      </c>
      <c r="M3" s="9">
        <v>0.77712000000000003</v>
      </c>
      <c r="N3" s="13">
        <f>-90-L3</f>
        <v>-58.327380000000005</v>
      </c>
    </row>
    <row r="4" spans="1:14" ht="14.25" customHeight="1">
      <c r="A4" s="14" t="s">
        <v>15</v>
      </c>
      <c r="B4" s="14">
        <v>405912</v>
      </c>
      <c r="C4" s="14">
        <v>9134097</v>
      </c>
      <c r="D4" s="14">
        <v>86</v>
      </c>
      <c r="E4" s="5"/>
      <c r="F4" s="88"/>
    </row>
    <row r="5" spans="1:14" ht="14.25" customHeight="1">
      <c r="A5" s="3" t="s">
        <v>16</v>
      </c>
      <c r="B5" s="3">
        <v>405685</v>
      </c>
      <c r="C5" s="3">
        <v>9134110</v>
      </c>
      <c r="D5" s="3">
        <v>117</v>
      </c>
      <c r="E5" s="5"/>
      <c r="F5" s="88"/>
    </row>
    <row r="6" spans="1:14" ht="14.25" customHeight="1">
      <c r="A6" s="3" t="s">
        <v>17</v>
      </c>
      <c r="B6" s="3">
        <v>405476</v>
      </c>
      <c r="C6" s="3">
        <v>9134119</v>
      </c>
      <c r="D6" s="3">
        <v>125</v>
      </c>
      <c r="E6" s="5"/>
      <c r="F6" s="88"/>
    </row>
    <row r="7" spans="1:14" ht="14.25" customHeight="1">
      <c r="A7" s="3" t="s">
        <v>18</v>
      </c>
      <c r="B7" s="3">
        <v>405242</v>
      </c>
      <c r="C7" s="3">
        <v>9134112</v>
      </c>
      <c r="D7" s="3">
        <v>108</v>
      </c>
      <c r="E7" s="5"/>
      <c r="F7" s="88"/>
    </row>
    <row r="8" spans="1:14" ht="14.25" customHeight="1">
      <c r="A8" s="3" t="s">
        <v>19</v>
      </c>
      <c r="B8" s="3">
        <v>405019</v>
      </c>
      <c r="C8" s="3">
        <v>9134118</v>
      </c>
      <c r="D8" s="3">
        <v>121</v>
      </c>
      <c r="E8" s="5"/>
      <c r="F8" s="88"/>
    </row>
    <row r="9" spans="1:14" ht="14.25" customHeight="1">
      <c r="A9" s="3" t="s">
        <v>20</v>
      </c>
      <c r="B9" s="3">
        <v>404804</v>
      </c>
      <c r="C9" s="3">
        <v>9134113</v>
      </c>
      <c r="D9" s="3">
        <v>153</v>
      </c>
      <c r="E9" s="5"/>
      <c r="F9" s="88"/>
    </row>
    <row r="10" spans="1:14" ht="14.25" customHeight="1">
      <c r="A10" s="14" t="s">
        <v>21</v>
      </c>
      <c r="B10" s="3">
        <v>404567</v>
      </c>
      <c r="C10" s="3">
        <v>9134111</v>
      </c>
      <c r="D10" s="3">
        <v>170</v>
      </c>
      <c r="E10" s="5"/>
      <c r="F10" s="88"/>
    </row>
    <row r="11" spans="1:14" ht="14.25" customHeight="1">
      <c r="A11" s="3" t="s">
        <v>22</v>
      </c>
      <c r="B11" s="3">
        <v>404358</v>
      </c>
      <c r="C11" s="3">
        <v>9134113</v>
      </c>
      <c r="D11" s="3">
        <v>151</v>
      </c>
      <c r="E11" s="5"/>
      <c r="F11" s="88"/>
    </row>
    <row r="12" spans="1:14" ht="14.25" customHeight="1">
      <c r="A12" s="3" t="s">
        <v>23</v>
      </c>
      <c r="B12" s="3">
        <v>404103</v>
      </c>
      <c r="C12" s="3">
        <v>9134106</v>
      </c>
      <c r="D12" s="3">
        <v>191</v>
      </c>
      <c r="E12" s="5"/>
      <c r="F12" s="88"/>
    </row>
    <row r="13" spans="1:14" ht="14.25" customHeight="1">
      <c r="A13" s="3" t="s">
        <v>24</v>
      </c>
      <c r="B13" s="3">
        <v>403898</v>
      </c>
      <c r="C13" s="3">
        <v>9134118</v>
      </c>
      <c r="D13" s="3">
        <v>162</v>
      </c>
      <c r="E13" s="5"/>
      <c r="F13" s="88"/>
    </row>
    <row r="14" spans="1:14" ht="14.25" customHeight="1">
      <c r="A14" s="3" t="s">
        <v>25</v>
      </c>
      <c r="B14" s="14">
        <v>403672</v>
      </c>
      <c r="C14" s="14">
        <v>9134111</v>
      </c>
      <c r="D14" s="14">
        <v>180</v>
      </c>
      <c r="E14" s="5"/>
      <c r="F14" s="88"/>
    </row>
    <row r="15" spans="1:14" ht="14.25" customHeight="1">
      <c r="A15" s="3" t="s">
        <v>26</v>
      </c>
      <c r="B15" s="3">
        <v>403457</v>
      </c>
      <c r="C15" s="3">
        <v>9134111</v>
      </c>
      <c r="D15" s="3">
        <v>212</v>
      </c>
      <c r="E15" s="5"/>
      <c r="F15" s="88"/>
    </row>
    <row r="16" spans="1:14" ht="14.25" customHeight="1">
      <c r="A16" s="3" t="s">
        <v>27</v>
      </c>
      <c r="B16" s="3">
        <v>403224</v>
      </c>
      <c r="C16" s="3">
        <v>9134111</v>
      </c>
      <c r="D16" s="3">
        <v>249</v>
      </c>
      <c r="E16" s="5"/>
      <c r="F16" s="88"/>
    </row>
    <row r="17" spans="1:14" ht="14.25" customHeight="1">
      <c r="A17" s="3" t="s">
        <v>28</v>
      </c>
      <c r="B17" s="3">
        <v>402995</v>
      </c>
      <c r="C17" s="3">
        <v>9134125</v>
      </c>
      <c r="D17" s="3">
        <v>251</v>
      </c>
      <c r="E17" s="5"/>
      <c r="F17" s="88"/>
    </row>
    <row r="18" spans="1:14" ht="14.25" customHeight="1">
      <c r="A18" s="14" t="s">
        <v>29</v>
      </c>
      <c r="B18" s="3">
        <v>402775</v>
      </c>
      <c r="C18" s="3">
        <v>9134104</v>
      </c>
      <c r="D18" s="3">
        <v>207</v>
      </c>
      <c r="E18" s="5"/>
      <c r="F18" s="88"/>
    </row>
    <row r="19" spans="1:14" ht="14.25" customHeight="1">
      <c r="A19" s="3" t="s">
        <v>30</v>
      </c>
      <c r="B19" s="3">
        <v>402552</v>
      </c>
      <c r="C19" s="3">
        <v>9134109</v>
      </c>
      <c r="D19" s="3">
        <v>196</v>
      </c>
      <c r="E19" s="5"/>
      <c r="F19" s="88"/>
    </row>
    <row r="20" spans="1:14" ht="14.25" customHeight="1">
      <c r="A20" s="3" t="s">
        <v>31</v>
      </c>
      <c r="B20" s="3">
        <v>402316</v>
      </c>
      <c r="C20" s="3">
        <v>9134112</v>
      </c>
      <c r="D20" s="3">
        <v>217</v>
      </c>
      <c r="E20" s="5"/>
      <c r="F20" s="88"/>
    </row>
    <row r="21" spans="1:14" ht="14.25" customHeight="1">
      <c r="A21" s="3" t="s">
        <v>32</v>
      </c>
      <c r="B21" s="3">
        <v>402116</v>
      </c>
      <c r="C21" s="3">
        <v>9134112</v>
      </c>
      <c r="D21" s="3">
        <v>225</v>
      </c>
      <c r="E21" s="5"/>
      <c r="F21" s="88"/>
    </row>
    <row r="22" spans="1:14" ht="14.25" customHeight="1">
      <c r="A22" s="3" t="s">
        <v>33</v>
      </c>
      <c r="B22" s="3">
        <v>402090</v>
      </c>
      <c r="C22" s="3">
        <v>9133879</v>
      </c>
      <c r="D22" s="3">
        <v>217</v>
      </c>
      <c r="E22" s="5"/>
      <c r="F22" s="88"/>
    </row>
    <row r="23" spans="1:14" ht="14.25" customHeight="1">
      <c r="A23" s="14" t="s">
        <v>34</v>
      </c>
      <c r="B23" s="3">
        <v>402319</v>
      </c>
      <c r="C23" s="3">
        <v>9133889</v>
      </c>
      <c r="D23" s="3">
        <v>217</v>
      </c>
      <c r="E23" s="5"/>
      <c r="F23" s="89"/>
    </row>
    <row r="24" spans="1:14" ht="14.25" customHeight="1">
      <c r="H24" s="15"/>
      <c r="I24" s="15"/>
      <c r="J24" s="15"/>
      <c r="K24" s="15"/>
      <c r="L24" s="15"/>
      <c r="M24" s="15"/>
      <c r="N24" s="15"/>
    </row>
    <row r="25" spans="1:14" ht="14.25" customHeight="1">
      <c r="A25" s="20"/>
      <c r="B25" s="20"/>
      <c r="C25" s="20"/>
      <c r="D25" s="20"/>
      <c r="E25" s="20"/>
    </row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spans="8:16" ht="14.25" customHeight="1">
      <c r="H33" s="16"/>
      <c r="I33" s="17"/>
    </row>
    <row r="34" spans="8:16" ht="14.25" customHeight="1">
      <c r="I34" s="17"/>
    </row>
    <row r="35" spans="8:16" ht="14.25" customHeight="1"/>
    <row r="36" spans="8:16" ht="14.25" customHeight="1"/>
    <row r="37" spans="8:16" ht="14.25" customHeight="1"/>
    <row r="38" spans="8:16" ht="14.25" customHeight="1"/>
    <row r="39" spans="8:16" ht="14.25" customHeight="1"/>
    <row r="40" spans="8:16" ht="14.25" customHeight="1">
      <c r="H40" s="90"/>
      <c r="I40" s="85"/>
      <c r="J40" s="85"/>
      <c r="K40" s="85"/>
      <c r="L40" s="85"/>
      <c r="M40" s="85"/>
      <c r="N40" s="85"/>
      <c r="O40" s="85"/>
      <c r="P40" s="85"/>
    </row>
    <row r="41" spans="8:16" ht="14.25" customHeight="1"/>
    <row r="42" spans="8:16" ht="14.25" customHeight="1"/>
    <row r="43" spans="8:16" ht="14.25" customHeight="1"/>
    <row r="44" spans="8:16" ht="14.25" customHeight="1"/>
    <row r="45" spans="8:16" ht="14.25" customHeight="1"/>
    <row r="46" spans="8:16" ht="14.25" customHeight="1"/>
    <row r="47" spans="8:16" ht="14.25" customHeight="1"/>
    <row r="48" spans="8:16" ht="14.25" customHeight="1"/>
    <row r="49" spans="8:15" ht="14.25" customHeight="1"/>
    <row r="50" spans="8:15" ht="14.25" customHeight="1"/>
    <row r="51" spans="8:15" ht="14.25" customHeight="1"/>
    <row r="52" spans="8:15" ht="14.25" customHeight="1"/>
    <row r="53" spans="8:15" ht="14.25" customHeight="1"/>
    <row r="54" spans="8:15" ht="14.25" customHeight="1"/>
    <row r="55" spans="8:15" ht="14.25" customHeight="1"/>
    <row r="56" spans="8:15" ht="14.25" customHeight="1"/>
    <row r="57" spans="8:15" ht="14.25" customHeight="1"/>
    <row r="58" spans="8:15" ht="14.25" customHeight="1"/>
    <row r="59" spans="8:15" ht="14.25" customHeight="1"/>
    <row r="60" spans="8:15" ht="14.25" customHeight="1"/>
    <row r="61" spans="8:15" ht="14.25" customHeight="1"/>
    <row r="62" spans="8:15" ht="14.25" customHeight="1">
      <c r="H62" s="90"/>
      <c r="I62" s="85"/>
      <c r="J62" s="85"/>
      <c r="K62" s="85"/>
      <c r="L62" s="85"/>
      <c r="M62" s="85"/>
      <c r="N62" s="85"/>
      <c r="O62" s="85"/>
    </row>
    <row r="63" spans="8:15" ht="14.25" customHeight="1"/>
    <row r="64" spans="8:1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spans="8:13" ht="14.25" customHeight="1"/>
    <row r="114" spans="8:13" ht="14.25" customHeight="1"/>
    <row r="115" spans="8:13" ht="14.25" customHeight="1"/>
    <row r="116" spans="8:13" ht="14.25" customHeight="1"/>
    <row r="117" spans="8:13" ht="14.25" customHeight="1"/>
    <row r="118" spans="8:13" ht="14.25" customHeight="1"/>
    <row r="119" spans="8:13" ht="14.25" customHeight="1"/>
    <row r="120" spans="8:13" ht="14.25" customHeight="1"/>
    <row r="121" spans="8:13" ht="14.25" customHeight="1"/>
    <row r="122" spans="8:13" ht="14.25" customHeight="1"/>
    <row r="123" spans="8:13" ht="14.25" customHeight="1"/>
    <row r="124" spans="8:13" ht="14.25" customHeight="1"/>
    <row r="125" spans="8:13" ht="14.25" customHeight="1"/>
    <row r="126" spans="8:13" ht="14.25" customHeight="1"/>
    <row r="127" spans="8:13" ht="14.25" customHeight="1">
      <c r="H127" s="84"/>
      <c r="I127" s="85"/>
      <c r="J127" s="85"/>
      <c r="K127" s="85"/>
      <c r="L127" s="85"/>
      <c r="M127" s="85"/>
    </row>
    <row r="128" spans="8:13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spans="8:18" ht="14.25" customHeight="1"/>
    <row r="146" spans="8:18" ht="14.25" customHeight="1"/>
    <row r="147" spans="8:18" ht="14.25" customHeight="1"/>
    <row r="148" spans="8:18" ht="14.25" customHeight="1"/>
    <row r="149" spans="8:18" ht="14.25" customHeight="1">
      <c r="H149" s="18"/>
      <c r="I149" s="18"/>
      <c r="J149" s="18"/>
      <c r="K149" s="18"/>
      <c r="L149" s="18"/>
      <c r="M149" s="18"/>
      <c r="N149" s="18"/>
    </row>
    <row r="150" spans="8:18" ht="14.25" customHeight="1">
      <c r="H150" s="18"/>
      <c r="I150" s="18"/>
      <c r="J150" s="18"/>
      <c r="K150" s="18"/>
      <c r="L150" s="18"/>
      <c r="M150" s="18"/>
      <c r="N150" s="18"/>
    </row>
    <row r="151" spans="8:18" ht="14.25" customHeight="1"/>
    <row r="152" spans="8:18" ht="14.25" customHeight="1"/>
    <row r="153" spans="8:18" ht="14.25" customHeight="1"/>
    <row r="154" spans="8:18" ht="14.25" customHeight="1">
      <c r="Q154" s="19"/>
      <c r="R154" s="19"/>
    </row>
    <row r="155" spans="8:18" ht="14.25" customHeight="1">
      <c r="Q155" s="19"/>
      <c r="R155" s="19"/>
    </row>
    <row r="156" spans="8:18" ht="14.25" customHeight="1"/>
    <row r="157" spans="8:18" ht="14.25" customHeight="1"/>
    <row r="158" spans="8:18" ht="14.25" customHeight="1"/>
    <row r="159" spans="8:18" ht="14.25" customHeight="1"/>
    <row r="160" spans="8:18" ht="14.25" customHeight="1"/>
    <row r="161" spans="8:14" ht="14.25" customHeight="1"/>
    <row r="162" spans="8:14" ht="14.25" customHeight="1"/>
    <row r="163" spans="8:14" ht="14.25" customHeight="1"/>
    <row r="164" spans="8:14" ht="14.25" customHeight="1"/>
    <row r="165" spans="8:14" ht="14.25" customHeight="1"/>
    <row r="166" spans="8:14" ht="14.25" customHeight="1"/>
    <row r="167" spans="8:14" ht="14.25" customHeight="1"/>
    <row r="168" spans="8:14" ht="14.25" customHeight="1"/>
    <row r="169" spans="8:14" ht="14.25" customHeight="1"/>
    <row r="170" spans="8:14" ht="14.25" customHeight="1"/>
    <row r="171" spans="8:14" ht="14.25" customHeight="1"/>
    <row r="172" spans="8:14" ht="14.25" customHeight="1">
      <c r="H172" s="86"/>
      <c r="I172" s="85"/>
      <c r="J172" s="85"/>
      <c r="K172" s="85"/>
      <c r="L172" s="85"/>
      <c r="M172" s="85"/>
      <c r="N172" s="85"/>
    </row>
    <row r="173" spans="8:14" ht="14.25" customHeight="1"/>
    <row r="174" spans="8:14" ht="14.25" customHeight="1"/>
    <row r="175" spans="8:14" ht="14.25" customHeight="1"/>
    <row r="176" spans="8:14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spans="8:8" ht="14.25" customHeight="1"/>
    <row r="194" spans="8:8" ht="14.25" customHeight="1"/>
    <row r="195" spans="8:8" ht="14.25" customHeight="1"/>
    <row r="196" spans="8:8" ht="14.25" customHeight="1"/>
    <row r="197" spans="8:8" ht="14.25" customHeight="1"/>
    <row r="198" spans="8:8" ht="14.25" customHeight="1"/>
    <row r="199" spans="8:8" ht="14.25" customHeight="1"/>
    <row r="200" spans="8:8" ht="14.25" customHeight="1"/>
    <row r="201" spans="8:8" ht="14.25" customHeight="1"/>
    <row r="202" spans="8:8" ht="14.25" customHeight="1"/>
    <row r="203" spans="8:8" ht="14.25" customHeight="1"/>
    <row r="204" spans="8:8" ht="14.25" customHeight="1"/>
    <row r="205" spans="8:8" ht="14.25" customHeight="1">
      <c r="H205" s="2" t="s">
        <v>35</v>
      </c>
    </row>
    <row r="206" spans="8:8" ht="14.25" customHeight="1"/>
    <row r="207" spans="8:8" ht="14.25" customHeight="1"/>
    <row r="208" spans="8: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mergeCells count="5">
    <mergeCell ref="H127:M127"/>
    <mergeCell ref="H172:N172"/>
    <mergeCell ref="F2:F23"/>
    <mergeCell ref="H40:P40"/>
    <mergeCell ref="H62:O62"/>
  </mergeCells>
  <pageMargins left="0.7" right="0.7" top="0.75" bottom="0.75" header="0" footer="0"/>
  <pageSetup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Rover</vt:lpstr>
      <vt:lpstr>Base</vt:lpstr>
      <vt:lpstr>Oasis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Alif Amartia</dc:creator>
  <cp:lastModifiedBy>HP Victus</cp:lastModifiedBy>
  <cp:lastPrinted>2025-11-17T12:35:28Z</cp:lastPrinted>
  <dcterms:created xsi:type="dcterms:W3CDTF">2025-11-08T07:10:00Z</dcterms:created>
  <dcterms:modified xsi:type="dcterms:W3CDTF">2025-11-17T13:04:08Z</dcterms:modified>
</cp:coreProperties>
</file>